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\Desktop\Curso analisis de datos\Laboratorio PREPARACIÓN DE DATOS\"/>
    </mc:Choice>
  </mc:AlternateContent>
  <xr:revisionPtr revIDLastSave="0" documentId="13_ncr:1_{E1861C25-4A67-4F89-AB92-84994E1F7F1B}" xr6:coauthVersionLast="47" xr6:coauthVersionMax="47" xr10:uidLastSave="{00000000-0000-0000-0000-000000000000}"/>
  <bookViews>
    <workbookView xWindow="-108" yWindow="-108" windowWidth="23256" windowHeight="13896" tabRatio="608" firstSheet="3" activeTab="6" xr2:uid="{00000000-000D-0000-FFFF-FFFF00000000}"/>
  </bookViews>
  <sheets>
    <sheet name="Bike Sales" sheetId="1" r:id="rId1"/>
    <sheet name="Datos duplicados" sheetId="3" r:id="rId2"/>
    <sheet name="Eliminar duplicados" sheetId="4" r:id="rId3"/>
    <sheet name="Identificar Celdas vacias" sheetId="5" r:id="rId4"/>
    <sheet name="Texto en Columnnas" sheetId="6" r:id="rId5"/>
    <sheet name="Eliminación de espacios" sheetId="7" r:id="rId6"/>
    <sheet name="Buscar y reemplazar" sheetId="8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9" i="8" l="1"/>
  <c r="T89" i="8"/>
  <c r="U88" i="8"/>
  <c r="T88" i="8"/>
  <c r="U87" i="8"/>
  <c r="T87" i="8"/>
  <c r="U86" i="8"/>
  <c r="T86" i="8"/>
  <c r="U85" i="8"/>
  <c r="T85" i="8"/>
  <c r="U84" i="8"/>
  <c r="T84" i="8"/>
  <c r="U83" i="8"/>
  <c r="T83" i="8"/>
  <c r="U82" i="8"/>
  <c r="T82" i="8"/>
  <c r="U81" i="8"/>
  <c r="T81" i="8"/>
  <c r="U80" i="8"/>
  <c r="T80" i="8"/>
  <c r="U79" i="8"/>
  <c r="T79" i="8"/>
  <c r="U78" i="8"/>
  <c r="T78" i="8"/>
  <c r="U77" i="8"/>
  <c r="T77" i="8"/>
  <c r="U76" i="8"/>
  <c r="T76" i="8"/>
  <c r="U75" i="8"/>
  <c r="T75" i="8"/>
  <c r="U74" i="8"/>
  <c r="T74" i="8"/>
  <c r="U73" i="8"/>
  <c r="T73" i="8"/>
  <c r="U72" i="8"/>
  <c r="T72" i="8"/>
  <c r="U71" i="8"/>
  <c r="T71" i="8"/>
  <c r="U70" i="8"/>
  <c r="T70" i="8"/>
  <c r="U69" i="8"/>
  <c r="T69" i="8"/>
  <c r="U68" i="8"/>
  <c r="T68" i="8"/>
  <c r="U67" i="8"/>
  <c r="T67" i="8"/>
  <c r="U66" i="8"/>
  <c r="T66" i="8"/>
  <c r="U65" i="8"/>
  <c r="T65" i="8"/>
  <c r="U64" i="8"/>
  <c r="T64" i="8"/>
  <c r="U63" i="8"/>
  <c r="T63" i="8"/>
  <c r="U62" i="8"/>
  <c r="T62" i="8"/>
  <c r="U61" i="8"/>
  <c r="T61" i="8"/>
  <c r="U60" i="8"/>
  <c r="T60" i="8"/>
  <c r="U59" i="8"/>
  <c r="T59" i="8"/>
  <c r="U58" i="8"/>
  <c r="T58" i="8"/>
  <c r="U57" i="8"/>
  <c r="T57" i="8"/>
  <c r="U56" i="8"/>
  <c r="T56" i="8"/>
  <c r="U55" i="8"/>
  <c r="T55" i="8"/>
  <c r="U54" i="8"/>
  <c r="T54" i="8"/>
  <c r="U53" i="8"/>
  <c r="T53" i="8"/>
  <c r="U52" i="8"/>
  <c r="T52" i="8"/>
  <c r="U51" i="8"/>
  <c r="T51" i="8"/>
  <c r="U50" i="8"/>
  <c r="T50" i="8"/>
  <c r="U49" i="8"/>
  <c r="T49" i="8"/>
  <c r="U48" i="8"/>
  <c r="T48" i="8"/>
  <c r="U47" i="8"/>
  <c r="T47" i="8"/>
  <c r="U46" i="8"/>
  <c r="T46" i="8"/>
  <c r="U45" i="8"/>
  <c r="T45" i="8"/>
  <c r="U44" i="8"/>
  <c r="T44" i="8"/>
  <c r="U43" i="8"/>
  <c r="T43" i="8"/>
  <c r="U42" i="8"/>
  <c r="T42" i="8"/>
  <c r="U41" i="8"/>
  <c r="T41" i="8"/>
  <c r="U40" i="8"/>
  <c r="T40" i="8"/>
  <c r="U39" i="8"/>
  <c r="T39" i="8"/>
  <c r="U38" i="8"/>
  <c r="T38" i="8"/>
  <c r="U37" i="8"/>
  <c r="T37" i="8"/>
  <c r="U36" i="8"/>
  <c r="T36" i="8"/>
  <c r="U35" i="8"/>
  <c r="T35" i="8"/>
  <c r="U34" i="8"/>
  <c r="T34" i="8"/>
  <c r="U33" i="8"/>
  <c r="T33" i="8"/>
  <c r="U32" i="8"/>
  <c r="T32" i="8"/>
  <c r="U31" i="8"/>
  <c r="T31" i="8"/>
  <c r="U30" i="8"/>
  <c r="T30" i="8"/>
  <c r="U29" i="8"/>
  <c r="T29" i="8"/>
  <c r="U28" i="8"/>
  <c r="T28" i="8"/>
  <c r="U27" i="8"/>
  <c r="T27" i="8"/>
  <c r="U26" i="8"/>
  <c r="T26" i="8"/>
  <c r="U25" i="8"/>
  <c r="T25" i="8"/>
  <c r="U24" i="8"/>
  <c r="T24" i="8"/>
  <c r="U23" i="8"/>
  <c r="T23" i="8"/>
  <c r="U22" i="8"/>
  <c r="T22" i="8"/>
  <c r="U21" i="8"/>
  <c r="T21" i="8"/>
  <c r="U20" i="8"/>
  <c r="T20" i="8"/>
  <c r="U19" i="8"/>
  <c r="T19" i="8"/>
  <c r="U18" i="8"/>
  <c r="T18" i="8"/>
  <c r="U17" i="8"/>
  <c r="T17" i="8"/>
  <c r="U16" i="8"/>
  <c r="T16" i="8"/>
  <c r="U15" i="8"/>
  <c r="T15" i="8"/>
  <c r="U14" i="8"/>
  <c r="T14" i="8"/>
  <c r="U13" i="8"/>
  <c r="T13" i="8"/>
  <c r="U12" i="8"/>
  <c r="T12" i="8"/>
  <c r="U11" i="8"/>
  <c r="T11" i="8"/>
  <c r="U10" i="8"/>
  <c r="T10" i="8"/>
  <c r="U9" i="8"/>
  <c r="T9" i="8"/>
  <c r="U8" i="8"/>
  <c r="T8" i="8"/>
  <c r="U7" i="8"/>
  <c r="T7" i="8"/>
  <c r="U6" i="8"/>
  <c r="T6" i="8"/>
  <c r="U5" i="8"/>
  <c r="T5" i="8"/>
  <c r="U4" i="8"/>
  <c r="T4" i="8"/>
  <c r="U3" i="8"/>
  <c r="T3" i="8"/>
  <c r="U2" i="8"/>
  <c r="T2" i="8"/>
  <c r="J2" i="7"/>
  <c r="K2" i="7"/>
  <c r="J3" i="7"/>
  <c r="K3" i="7"/>
  <c r="J4" i="7"/>
  <c r="K4" i="7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J18" i="7"/>
  <c r="K18" i="7"/>
  <c r="J19" i="7"/>
  <c r="K19" i="7"/>
  <c r="J20" i="7"/>
  <c r="K20" i="7"/>
  <c r="J21" i="7"/>
  <c r="K21" i="7"/>
  <c r="J22" i="7"/>
  <c r="K22" i="7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J32" i="7"/>
  <c r="K32" i="7"/>
  <c r="J33" i="7"/>
  <c r="K33" i="7"/>
  <c r="J34" i="7"/>
  <c r="K34" i="7"/>
  <c r="J35" i="7"/>
  <c r="K35" i="7"/>
  <c r="J36" i="7"/>
  <c r="K36" i="7"/>
  <c r="J37" i="7"/>
  <c r="K37" i="7"/>
  <c r="J38" i="7"/>
  <c r="K38" i="7"/>
  <c r="J39" i="7"/>
  <c r="K39" i="7"/>
  <c r="J40" i="7"/>
  <c r="K40" i="7"/>
  <c r="J41" i="7"/>
  <c r="K41" i="7"/>
  <c r="J42" i="7"/>
  <c r="K42" i="7"/>
  <c r="J43" i="7"/>
  <c r="K43" i="7"/>
  <c r="J44" i="7"/>
  <c r="K44" i="7"/>
  <c r="J45" i="7"/>
  <c r="K45" i="7"/>
  <c r="J46" i="7"/>
  <c r="K46" i="7"/>
  <c r="J47" i="7"/>
  <c r="K47" i="7"/>
  <c r="J48" i="7"/>
  <c r="K48" i="7"/>
  <c r="J49" i="7"/>
  <c r="K49" i="7"/>
  <c r="J50" i="7"/>
  <c r="K50" i="7"/>
  <c r="J51" i="7"/>
  <c r="K51" i="7"/>
  <c r="J52" i="7"/>
  <c r="K52" i="7"/>
  <c r="J53" i="7"/>
  <c r="K53" i="7"/>
  <c r="J54" i="7"/>
  <c r="K54" i="7"/>
  <c r="J55" i="7"/>
  <c r="K55" i="7"/>
  <c r="J56" i="7"/>
  <c r="K56" i="7"/>
  <c r="J57" i="7"/>
  <c r="K57" i="7"/>
  <c r="J58" i="7"/>
  <c r="K58" i="7"/>
  <c r="J59" i="7"/>
  <c r="K59" i="7"/>
  <c r="J60" i="7"/>
  <c r="K60" i="7"/>
  <c r="J61" i="7"/>
  <c r="K61" i="7"/>
  <c r="J62" i="7"/>
  <c r="K62" i="7"/>
  <c r="J63" i="7"/>
  <c r="K63" i="7"/>
  <c r="J64" i="7"/>
  <c r="K64" i="7"/>
  <c r="J65" i="7"/>
  <c r="K65" i="7"/>
  <c r="J66" i="7"/>
  <c r="K66" i="7"/>
  <c r="J67" i="7"/>
  <c r="K67" i="7"/>
  <c r="J68" i="7"/>
  <c r="K68" i="7"/>
  <c r="J69" i="7"/>
  <c r="K69" i="7"/>
  <c r="J70" i="7"/>
  <c r="K70" i="7"/>
  <c r="J71" i="7"/>
  <c r="K71" i="7"/>
  <c r="J72" i="7"/>
  <c r="K72" i="7"/>
  <c r="J73" i="7"/>
  <c r="K73" i="7"/>
  <c r="J74" i="7"/>
  <c r="K74" i="7"/>
  <c r="J75" i="7"/>
  <c r="K75" i="7"/>
  <c r="J76" i="7"/>
  <c r="K76" i="7"/>
  <c r="J77" i="7"/>
  <c r="K77" i="7"/>
  <c r="J78" i="7"/>
  <c r="K78" i="7"/>
  <c r="J79" i="7"/>
  <c r="K79" i="7"/>
  <c r="J80" i="7"/>
  <c r="K80" i="7"/>
  <c r="J81" i="7"/>
  <c r="K81" i="7"/>
  <c r="J82" i="7"/>
  <c r="K82" i="7"/>
  <c r="J83" i="7"/>
  <c r="K83" i="7"/>
  <c r="J84" i="7"/>
  <c r="K84" i="7"/>
  <c r="J85" i="7"/>
  <c r="K85" i="7"/>
  <c r="J86" i="7"/>
  <c r="K86" i="7"/>
  <c r="J87" i="7"/>
  <c r="K87" i="7"/>
  <c r="J88" i="7"/>
  <c r="K88" i="7"/>
  <c r="J89" i="7"/>
  <c r="K89" i="7"/>
  <c r="W89" i="7"/>
  <c r="V89" i="7"/>
  <c r="W88" i="7"/>
  <c r="V88" i="7"/>
  <c r="W87" i="7"/>
  <c r="V87" i="7"/>
  <c r="W86" i="7"/>
  <c r="V86" i="7"/>
  <c r="W85" i="7"/>
  <c r="V85" i="7"/>
  <c r="W84" i="7"/>
  <c r="V84" i="7"/>
  <c r="W83" i="7"/>
  <c r="V83" i="7"/>
  <c r="W82" i="7"/>
  <c r="V82" i="7"/>
  <c r="W81" i="7"/>
  <c r="V81" i="7"/>
  <c r="W80" i="7"/>
  <c r="V80" i="7"/>
  <c r="W79" i="7"/>
  <c r="V79" i="7"/>
  <c r="W78" i="7"/>
  <c r="V78" i="7"/>
  <c r="W77" i="7"/>
  <c r="V77" i="7"/>
  <c r="W76" i="7"/>
  <c r="V76" i="7"/>
  <c r="W75" i="7"/>
  <c r="V75" i="7"/>
  <c r="W74" i="7"/>
  <c r="V74" i="7"/>
  <c r="W73" i="7"/>
  <c r="V73" i="7"/>
  <c r="W72" i="7"/>
  <c r="V72" i="7"/>
  <c r="W71" i="7"/>
  <c r="V71" i="7"/>
  <c r="W70" i="7"/>
  <c r="V70" i="7"/>
  <c r="W69" i="7"/>
  <c r="V69" i="7"/>
  <c r="W68" i="7"/>
  <c r="V68" i="7"/>
  <c r="W67" i="7"/>
  <c r="V67" i="7"/>
  <c r="W66" i="7"/>
  <c r="V66" i="7"/>
  <c r="W65" i="7"/>
  <c r="V65" i="7"/>
  <c r="W64" i="7"/>
  <c r="V64" i="7"/>
  <c r="W63" i="7"/>
  <c r="V63" i="7"/>
  <c r="W62" i="7"/>
  <c r="V62" i="7"/>
  <c r="W61" i="7"/>
  <c r="V61" i="7"/>
  <c r="W60" i="7"/>
  <c r="V60" i="7"/>
  <c r="W59" i="7"/>
  <c r="V59" i="7"/>
  <c r="W58" i="7"/>
  <c r="V58" i="7"/>
  <c r="W57" i="7"/>
  <c r="V57" i="7"/>
  <c r="W56" i="7"/>
  <c r="V56" i="7"/>
  <c r="W55" i="7"/>
  <c r="V55" i="7"/>
  <c r="W54" i="7"/>
  <c r="V54" i="7"/>
  <c r="W53" i="7"/>
  <c r="V53" i="7"/>
  <c r="W52" i="7"/>
  <c r="V52" i="7"/>
  <c r="W51" i="7"/>
  <c r="V51" i="7"/>
  <c r="W50" i="7"/>
  <c r="V50" i="7"/>
  <c r="W49" i="7"/>
  <c r="V49" i="7"/>
  <c r="W48" i="7"/>
  <c r="V48" i="7"/>
  <c r="W47" i="7"/>
  <c r="V47" i="7"/>
  <c r="W46" i="7"/>
  <c r="V46" i="7"/>
  <c r="W45" i="7"/>
  <c r="V45" i="7"/>
  <c r="W44" i="7"/>
  <c r="V44" i="7"/>
  <c r="W43" i="7"/>
  <c r="V43" i="7"/>
  <c r="W42" i="7"/>
  <c r="V42" i="7"/>
  <c r="W41" i="7"/>
  <c r="V41" i="7"/>
  <c r="W40" i="7"/>
  <c r="V40" i="7"/>
  <c r="W39" i="7"/>
  <c r="V39" i="7"/>
  <c r="W38" i="7"/>
  <c r="V38" i="7"/>
  <c r="W37" i="7"/>
  <c r="V37" i="7"/>
  <c r="W36" i="7"/>
  <c r="V36" i="7"/>
  <c r="W35" i="7"/>
  <c r="V35" i="7"/>
  <c r="W34" i="7"/>
  <c r="V34" i="7"/>
  <c r="W33" i="7"/>
  <c r="V33" i="7"/>
  <c r="W32" i="7"/>
  <c r="V32" i="7"/>
  <c r="W31" i="7"/>
  <c r="V31" i="7"/>
  <c r="W30" i="7"/>
  <c r="V30" i="7"/>
  <c r="W29" i="7"/>
  <c r="V29" i="7"/>
  <c r="W28" i="7"/>
  <c r="V28" i="7"/>
  <c r="W27" i="7"/>
  <c r="V27" i="7"/>
  <c r="W26" i="7"/>
  <c r="V26" i="7"/>
  <c r="W25" i="7"/>
  <c r="V25" i="7"/>
  <c r="W24" i="7"/>
  <c r="V24" i="7"/>
  <c r="W23" i="7"/>
  <c r="V23" i="7"/>
  <c r="W22" i="7"/>
  <c r="V22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V15" i="7"/>
  <c r="W14" i="7"/>
  <c r="V14" i="7"/>
  <c r="W13" i="7"/>
  <c r="V13" i="7"/>
  <c r="W12" i="7"/>
  <c r="V12" i="7"/>
  <c r="W11" i="7"/>
  <c r="V11" i="7"/>
  <c r="W10" i="7"/>
  <c r="V10" i="7"/>
  <c r="W9" i="7"/>
  <c r="V9" i="7"/>
  <c r="W8" i="7"/>
  <c r="V8" i="7"/>
  <c r="W7" i="7"/>
  <c r="V7" i="7"/>
  <c r="W6" i="7"/>
  <c r="V6" i="7"/>
  <c r="W5" i="7"/>
  <c r="V5" i="7"/>
  <c r="W4" i="7"/>
  <c r="V4" i="7"/>
  <c r="W3" i="7"/>
  <c r="V3" i="7"/>
  <c r="W2" i="7"/>
  <c r="V2" i="7"/>
  <c r="U89" i="6"/>
  <c r="T89" i="6"/>
  <c r="U88" i="6"/>
  <c r="T88" i="6"/>
  <c r="U87" i="6"/>
  <c r="T87" i="6"/>
  <c r="U86" i="6"/>
  <c r="T86" i="6"/>
  <c r="U85" i="6"/>
  <c r="T85" i="6"/>
  <c r="U84" i="6"/>
  <c r="T84" i="6"/>
  <c r="U83" i="6"/>
  <c r="T83" i="6"/>
  <c r="U82" i="6"/>
  <c r="T82" i="6"/>
  <c r="U81" i="6"/>
  <c r="T81" i="6"/>
  <c r="U80" i="6"/>
  <c r="T80" i="6"/>
  <c r="U79" i="6"/>
  <c r="T79" i="6"/>
  <c r="U78" i="6"/>
  <c r="T78" i="6"/>
  <c r="U77" i="6"/>
  <c r="T77" i="6"/>
  <c r="U76" i="6"/>
  <c r="T76" i="6"/>
  <c r="U75" i="6"/>
  <c r="T75" i="6"/>
  <c r="U74" i="6"/>
  <c r="T74" i="6"/>
  <c r="U73" i="6"/>
  <c r="T73" i="6"/>
  <c r="U72" i="6"/>
  <c r="T72" i="6"/>
  <c r="U71" i="6"/>
  <c r="T71" i="6"/>
  <c r="U70" i="6"/>
  <c r="T70" i="6"/>
  <c r="U69" i="6"/>
  <c r="T69" i="6"/>
  <c r="U68" i="6"/>
  <c r="T68" i="6"/>
  <c r="U67" i="6"/>
  <c r="T67" i="6"/>
  <c r="U66" i="6"/>
  <c r="T66" i="6"/>
  <c r="U65" i="6"/>
  <c r="T65" i="6"/>
  <c r="U64" i="6"/>
  <c r="T64" i="6"/>
  <c r="U63" i="6"/>
  <c r="T63" i="6"/>
  <c r="U62" i="6"/>
  <c r="T62" i="6"/>
  <c r="U61" i="6"/>
  <c r="T61" i="6"/>
  <c r="U60" i="6"/>
  <c r="T60" i="6"/>
  <c r="U59" i="6"/>
  <c r="T59" i="6"/>
  <c r="U58" i="6"/>
  <c r="T58" i="6"/>
  <c r="U57" i="6"/>
  <c r="T57" i="6"/>
  <c r="U56" i="6"/>
  <c r="T56" i="6"/>
  <c r="U55" i="6"/>
  <c r="T55" i="6"/>
  <c r="U54" i="6"/>
  <c r="T54" i="6"/>
  <c r="U53" i="6"/>
  <c r="T53" i="6"/>
  <c r="U52" i="6"/>
  <c r="T52" i="6"/>
  <c r="U51" i="6"/>
  <c r="T51" i="6"/>
  <c r="U50" i="6"/>
  <c r="T50" i="6"/>
  <c r="U49" i="6"/>
  <c r="T49" i="6"/>
  <c r="U48" i="6"/>
  <c r="T48" i="6"/>
  <c r="U47" i="6"/>
  <c r="T47" i="6"/>
  <c r="U46" i="6"/>
  <c r="T46" i="6"/>
  <c r="U45" i="6"/>
  <c r="T45" i="6"/>
  <c r="U44" i="6"/>
  <c r="T44" i="6"/>
  <c r="U43" i="6"/>
  <c r="T43" i="6"/>
  <c r="U42" i="6"/>
  <c r="T42" i="6"/>
  <c r="U41" i="6"/>
  <c r="T41" i="6"/>
  <c r="U40" i="6"/>
  <c r="T40" i="6"/>
  <c r="U39" i="6"/>
  <c r="T39" i="6"/>
  <c r="U38" i="6"/>
  <c r="T38" i="6"/>
  <c r="U37" i="6"/>
  <c r="T37" i="6"/>
  <c r="U36" i="6"/>
  <c r="T36" i="6"/>
  <c r="U35" i="6"/>
  <c r="T35" i="6"/>
  <c r="U34" i="6"/>
  <c r="T34" i="6"/>
  <c r="U33" i="6"/>
  <c r="T33" i="6"/>
  <c r="U32" i="6"/>
  <c r="T32" i="6"/>
  <c r="U31" i="6"/>
  <c r="T31" i="6"/>
  <c r="U30" i="6"/>
  <c r="T30" i="6"/>
  <c r="U29" i="6"/>
  <c r="T29" i="6"/>
  <c r="U28" i="6"/>
  <c r="T28" i="6"/>
  <c r="U27" i="6"/>
  <c r="T27" i="6"/>
  <c r="U26" i="6"/>
  <c r="T26" i="6"/>
  <c r="U25" i="6"/>
  <c r="T25" i="6"/>
  <c r="U24" i="6"/>
  <c r="T24" i="6"/>
  <c r="U23" i="6"/>
  <c r="T23" i="6"/>
  <c r="U22" i="6"/>
  <c r="T22" i="6"/>
  <c r="U21" i="6"/>
  <c r="T21" i="6"/>
  <c r="U20" i="6"/>
  <c r="T20" i="6"/>
  <c r="U19" i="6"/>
  <c r="T19" i="6"/>
  <c r="U18" i="6"/>
  <c r="T18" i="6"/>
  <c r="U17" i="6"/>
  <c r="T17" i="6"/>
  <c r="U16" i="6"/>
  <c r="T16" i="6"/>
  <c r="U15" i="6"/>
  <c r="T15" i="6"/>
  <c r="U14" i="6"/>
  <c r="T14" i="6"/>
  <c r="U13" i="6"/>
  <c r="T13" i="6"/>
  <c r="U12" i="6"/>
  <c r="T12" i="6"/>
  <c r="U11" i="6"/>
  <c r="T11" i="6"/>
  <c r="U10" i="6"/>
  <c r="T10" i="6"/>
  <c r="U9" i="6"/>
  <c r="T9" i="6"/>
  <c r="U8" i="6"/>
  <c r="T8" i="6"/>
  <c r="U7" i="6"/>
  <c r="T7" i="6"/>
  <c r="U6" i="6"/>
  <c r="T6" i="6"/>
  <c r="U5" i="6"/>
  <c r="T5" i="6"/>
  <c r="U4" i="6"/>
  <c r="T4" i="6"/>
  <c r="U3" i="6"/>
  <c r="T3" i="6"/>
  <c r="U2" i="6"/>
  <c r="T2" i="6"/>
  <c r="R2" i="5"/>
  <c r="S2" i="5"/>
  <c r="R3" i="5"/>
  <c r="S3" i="5"/>
  <c r="R4" i="5"/>
  <c r="S4" i="5"/>
  <c r="R5" i="5"/>
  <c r="S5" i="5"/>
  <c r="R6" i="5"/>
  <c r="S6" i="5"/>
  <c r="R7" i="5"/>
  <c r="S7" i="5"/>
  <c r="R8" i="5"/>
  <c r="S8" i="5"/>
  <c r="R9" i="5"/>
  <c r="S9" i="5"/>
  <c r="R10" i="5"/>
  <c r="S10" i="5"/>
  <c r="R11" i="5"/>
  <c r="S11" i="5"/>
  <c r="R12" i="5"/>
  <c r="S12" i="5"/>
  <c r="R13" i="5"/>
  <c r="S13" i="5"/>
  <c r="R14" i="5"/>
  <c r="S14" i="5"/>
  <c r="R15" i="5"/>
  <c r="S15" i="5"/>
  <c r="R16" i="5"/>
  <c r="S16" i="5"/>
  <c r="R17" i="5"/>
  <c r="S17" i="5"/>
  <c r="R18" i="5"/>
  <c r="S18" i="5"/>
  <c r="R19" i="5"/>
  <c r="S19" i="5"/>
  <c r="R20" i="5"/>
  <c r="S20" i="5"/>
  <c r="R21" i="5"/>
  <c r="S21" i="5"/>
  <c r="R22" i="5"/>
  <c r="S22" i="5"/>
  <c r="R23" i="5"/>
  <c r="S23" i="5"/>
  <c r="R24" i="5"/>
  <c r="S24" i="5"/>
  <c r="R25" i="5"/>
  <c r="S25" i="5"/>
  <c r="R26" i="5"/>
  <c r="S26" i="5"/>
  <c r="R27" i="5"/>
  <c r="S27" i="5"/>
  <c r="R28" i="5"/>
  <c r="S28" i="5"/>
  <c r="R29" i="5"/>
  <c r="S29" i="5"/>
  <c r="R30" i="5"/>
  <c r="S30" i="5"/>
  <c r="R31" i="5"/>
  <c r="S31" i="5"/>
  <c r="R32" i="5"/>
  <c r="S32" i="5"/>
  <c r="R33" i="5"/>
  <c r="S33" i="5"/>
  <c r="R34" i="5"/>
  <c r="S34" i="5"/>
  <c r="R35" i="5"/>
  <c r="S35" i="5"/>
  <c r="R36" i="5"/>
  <c r="S36" i="5"/>
  <c r="R37" i="5"/>
  <c r="S37" i="5"/>
  <c r="R38" i="5"/>
  <c r="S38" i="5"/>
  <c r="R39" i="5"/>
  <c r="S39" i="5"/>
  <c r="R40" i="5"/>
  <c r="S40" i="5"/>
  <c r="R41" i="5"/>
  <c r="S41" i="5"/>
  <c r="R42" i="5"/>
  <c r="S42" i="5"/>
  <c r="R43" i="5"/>
  <c r="S43" i="5"/>
  <c r="R44" i="5"/>
  <c r="S44" i="5"/>
  <c r="R45" i="5"/>
  <c r="S45" i="5"/>
  <c r="R46" i="5"/>
  <c r="S46" i="5"/>
  <c r="R47" i="5"/>
  <c r="S47" i="5"/>
  <c r="R48" i="5"/>
  <c r="S48" i="5"/>
  <c r="R49" i="5"/>
  <c r="S49" i="5"/>
  <c r="R50" i="5"/>
  <c r="S50" i="5"/>
  <c r="R51" i="5"/>
  <c r="S51" i="5"/>
  <c r="R52" i="5"/>
  <c r="S52" i="5"/>
  <c r="R53" i="5"/>
  <c r="S53" i="5"/>
  <c r="R54" i="5"/>
  <c r="S54" i="5"/>
  <c r="R55" i="5"/>
  <c r="S55" i="5"/>
  <c r="R56" i="5"/>
  <c r="S56" i="5"/>
  <c r="R57" i="5"/>
  <c r="S57" i="5"/>
  <c r="R58" i="5"/>
  <c r="S58" i="5"/>
  <c r="R59" i="5"/>
  <c r="S59" i="5"/>
  <c r="R60" i="5"/>
  <c r="S60" i="5"/>
  <c r="R61" i="5"/>
  <c r="S61" i="5"/>
  <c r="R62" i="5"/>
  <c r="S62" i="5"/>
  <c r="R63" i="5"/>
  <c r="S63" i="5"/>
  <c r="R64" i="5"/>
  <c r="S64" i="5"/>
  <c r="R65" i="5"/>
  <c r="S65" i="5"/>
  <c r="R66" i="5"/>
  <c r="S66" i="5"/>
  <c r="R67" i="5"/>
  <c r="S67" i="5"/>
  <c r="R68" i="5"/>
  <c r="S68" i="5"/>
  <c r="R69" i="5"/>
  <c r="S69" i="5"/>
  <c r="R70" i="5"/>
  <c r="S70" i="5"/>
  <c r="R71" i="5"/>
  <c r="S71" i="5"/>
  <c r="R72" i="5"/>
  <c r="S72" i="5"/>
  <c r="R73" i="5"/>
  <c r="S73" i="5"/>
  <c r="R74" i="5"/>
  <c r="S74" i="5"/>
  <c r="R75" i="5"/>
  <c r="S75" i="5"/>
  <c r="R76" i="5"/>
  <c r="S76" i="5"/>
  <c r="R77" i="5"/>
  <c r="S77" i="5"/>
  <c r="R78" i="5"/>
  <c r="S78" i="5"/>
  <c r="R79" i="5"/>
  <c r="S79" i="5"/>
  <c r="R80" i="5"/>
  <c r="S80" i="5"/>
  <c r="R81" i="5"/>
  <c r="S81" i="5"/>
  <c r="R82" i="5"/>
  <c r="S82" i="5"/>
  <c r="R83" i="5"/>
  <c r="S83" i="5"/>
  <c r="R84" i="5"/>
  <c r="S84" i="5"/>
  <c r="R85" i="5"/>
  <c r="S85" i="5"/>
  <c r="R86" i="5"/>
  <c r="S86" i="5"/>
  <c r="R87" i="5"/>
  <c r="S87" i="5"/>
  <c r="R88" i="5"/>
  <c r="S88" i="5"/>
  <c r="R89" i="5"/>
  <c r="S89" i="5"/>
  <c r="R9" i="4"/>
  <c r="S9" i="4"/>
  <c r="S90" i="4"/>
  <c r="R90" i="4"/>
  <c r="S89" i="4"/>
  <c r="R89" i="4"/>
  <c r="S88" i="4"/>
  <c r="R88" i="4"/>
  <c r="S87" i="4"/>
  <c r="R87" i="4"/>
  <c r="S86" i="4"/>
  <c r="R86" i="4"/>
  <c r="S85" i="4"/>
  <c r="R85" i="4"/>
  <c r="S84" i="4"/>
  <c r="R84" i="4"/>
  <c r="S83" i="4"/>
  <c r="R83" i="4"/>
  <c r="S82" i="4"/>
  <c r="R82" i="4"/>
  <c r="S81" i="4"/>
  <c r="R81" i="4"/>
  <c r="S80" i="4"/>
  <c r="R80" i="4"/>
  <c r="S79" i="4"/>
  <c r="R79" i="4"/>
  <c r="S78" i="4"/>
  <c r="R78" i="4"/>
  <c r="S77" i="4"/>
  <c r="R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S62" i="4"/>
  <c r="R62" i="4"/>
  <c r="S61" i="4"/>
  <c r="R61" i="4"/>
  <c r="S60" i="4"/>
  <c r="R60" i="4"/>
  <c r="S59" i="4"/>
  <c r="R59" i="4"/>
  <c r="S58" i="4"/>
  <c r="R58" i="4"/>
  <c r="S57" i="4"/>
  <c r="R57" i="4"/>
  <c r="S56" i="4"/>
  <c r="R56" i="4"/>
  <c r="S55" i="4"/>
  <c r="R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S46" i="4"/>
  <c r="R46" i="4"/>
  <c r="S45" i="4"/>
  <c r="R45" i="4"/>
  <c r="S44" i="4"/>
  <c r="R44" i="4"/>
  <c r="S43" i="4"/>
  <c r="R43" i="4"/>
  <c r="S42" i="4"/>
  <c r="R42" i="4"/>
  <c r="S41" i="4"/>
  <c r="R41" i="4"/>
  <c r="S40" i="4"/>
  <c r="R40" i="4"/>
  <c r="S39" i="4"/>
  <c r="R39" i="4"/>
  <c r="S38" i="4"/>
  <c r="R38" i="4"/>
  <c r="S37" i="4"/>
  <c r="R37" i="4"/>
  <c r="S36" i="4"/>
  <c r="R36" i="4"/>
  <c r="S35" i="4"/>
  <c r="R35" i="4"/>
  <c r="S34" i="4"/>
  <c r="R34" i="4"/>
  <c r="S33" i="4"/>
  <c r="R33" i="4"/>
  <c r="S32" i="4"/>
  <c r="R32" i="4"/>
  <c r="S31" i="4"/>
  <c r="R31" i="4"/>
  <c r="S30" i="4"/>
  <c r="R30" i="4"/>
  <c r="S29" i="4"/>
  <c r="R29" i="4"/>
  <c r="S28" i="4"/>
  <c r="R28" i="4"/>
  <c r="S27" i="4"/>
  <c r="R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8" i="4"/>
  <c r="R8" i="4"/>
  <c r="S7" i="4"/>
  <c r="R7" i="4"/>
  <c r="S6" i="4"/>
  <c r="R6" i="4"/>
  <c r="S5" i="4"/>
  <c r="R5" i="4"/>
  <c r="S4" i="4"/>
  <c r="R4" i="4"/>
  <c r="S3" i="4"/>
  <c r="R3" i="4"/>
  <c r="S2" i="4"/>
  <c r="R2" i="4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S9" i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<sst xmlns="http://schemas.openxmlformats.org/spreadsheetml/2006/main" count="5968" uniqueCount="174">
  <si>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</si>
  <si>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</si>
  <si>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</si>
  <si>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</si>
  <si>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</si>
  <si>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</si>
  <si>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</si>
  <si>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</si>
  <si>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</si>
  <si>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</si>
  <si>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</si>
  <si>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</si>
  <si>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</si>
  <si>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</si>
  <si>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</si>
  <si>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</si>
  <si>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</si>
  <si>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</si>
  <si>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</si>
  <si>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</si>
  <si>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</si>
  <si>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</si>
  <si>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</si>
  <si>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</si>
  <si>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</si>
  <si>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</si>
  <si>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</si>
  <si>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</si>
  <si>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</si>
  <si>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</si>
  <si>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</si>
  <si>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</si>
  <si>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</si>
  <si>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</si>
  <si>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</si>
  <si>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</si>
  <si>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</si>
  <si>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</si>
  <si>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</si>
  <si>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</si>
  <si>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</si>
  <si>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</si>
  <si>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</si>
  <si>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</si>
  <si>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</si>
  <si>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</si>
  <si>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</si>
  <si>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</si>
  <si>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</si>
  <si>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</si>
  <si>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</si>
  <si>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</si>
  <si>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</si>
  <si>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</si>
  <si>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</si>
  <si>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</si>
  <si>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</si>
  <si>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</si>
  <si>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</si>
  <si>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</si>
  <si>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</si>
  <si>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</si>
  <si>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</si>
  <si>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</si>
  <si>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</si>
  <si>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</si>
  <si>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</si>
  <si>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</si>
  <si>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</si>
  <si>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</si>
  <si>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</si>
  <si>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</si>
  <si>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</si>
  <si>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</si>
  <si>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</si>
  <si>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</si>
  <si>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</si>
  <si>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</si>
  <si>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</si>
  <si>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</si>
  <si>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</si>
  <si>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</si>
  <si>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</si>
  <si>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</si>
  <si>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</si>
  <si>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</si>
  <si>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</si>
  <si>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</si>
  <si>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</si>
  <si>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</si>
  <si>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</si>
  <si>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</si>
  <si>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</si>
  <si>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</si>
  <si>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</si>
  <si>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</si>
  <si>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</si>
  <si>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</si>
  <si>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</si>
  <si>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</si>
  <si>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</si>
  <si>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</si>
  <si>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</si>
  <si>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</si>
  <si>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</si>
  <si>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</si>
  <si>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</si>
  <si>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</si>
  <si>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</si>
  <si>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</si>
  <si>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</si>
  <si>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</si>
  <si>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</si>
  <si>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</si>
  <si>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</si>
  <si>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</si>
  <si>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</si>
  <si>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</si>
  <si>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</si>
  <si>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</si>
  <si>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</si>
  <si>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</si>
  <si>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</si>
  <si>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</si>
  <si>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</si>
  <si>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</si>
  <si>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</si>
  <si>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</si>
  <si>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</si>
  <si>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</si>
  <si>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</si>
  <si>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</si>
  <si>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</si>
  <si>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</si>
  <si>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</si>
  <si>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</si>
  <si>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</si>
  <si>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</si>
  <si>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</si>
  <si>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</si>
  <si>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</si>
  <si>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</si>
  <si>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</si>
  <si>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</si>
  <si>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</si>
  <si>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</si>
  <si>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</si>
  <si>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</si>
  <si>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</si>
  <si>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</si>
  <si>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</si>
  <si>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</si>
  <si>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</si>
  <si>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</si>
  <si>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</si>
  <si>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</si>
  <si>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</si>
  <si>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</si>
  <si>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</si>
  <si>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</si>
  <si>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Tamaño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</si>
  <si>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</si>
  <si>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</si>
  <si>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</si>
  <si>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</si>
  <si>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</si>
  <si>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</si>
  <si>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</si>
  <si>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</si>
  <si>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Trim</t>
  </si>
  <si>
    <t>Length</t>
  </si>
  <si>
    <t>Hombre</t>
  </si>
  <si>
    <t>CustoHoHombrebreer_Gender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</si>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</sst>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4" max="14" width="16.21875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3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3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3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3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3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3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3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3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3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3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3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3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3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3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3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3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3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3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3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3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3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3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3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3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3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3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3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3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3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3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3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3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3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3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3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3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3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3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3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3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3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3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3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3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3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3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3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3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3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3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3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3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3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3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3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3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3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3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3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3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7753-000B-41AE-8A5E-BC4ECF7EC446}">
  <dimension ref="A1:S90"/>
  <sheetViews>
    <sheetView workbookViewId="0">
      <selection activeCell="A8" sqref="A8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4" max="14" width="16.21875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3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si="0"/>
        <v>1252</v>
      </c>
      <c r="S9" s="11">
        <f t="shared" si="1"/>
        <v>2295</v>
      </c>
    </row>
    <row r="10" spans="1:19" x14ac:dyDescent="0.3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3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3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3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3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3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3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3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3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3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3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3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3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3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3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3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3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3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3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3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3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3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3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3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3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3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3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3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3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3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3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3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3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3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3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3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3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3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3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3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3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2">N68*O68</f>
        <v>5008</v>
      </c>
      <c r="S68" s="2">
        <f t="shared" ref="S68:S90" si="3">N68*P68</f>
        <v>9180</v>
      </c>
    </row>
    <row r="69" spans="1:19" x14ac:dyDescent="0.3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2"/>
        <v>5008</v>
      </c>
      <c r="S70" s="2">
        <f t="shared" si="3"/>
        <v>9180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2"/>
        <v>590</v>
      </c>
      <c r="S71" s="2">
        <f t="shared" si="3"/>
        <v>1080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2"/>
        <v>2504</v>
      </c>
      <c r="S72" s="2">
        <f t="shared" si="3"/>
        <v>4590</v>
      </c>
    </row>
    <row r="73" spans="1:19" x14ac:dyDescent="0.3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2"/>
        <v>1266</v>
      </c>
      <c r="S73" s="2">
        <f t="shared" si="3"/>
        <v>2320</v>
      </c>
    </row>
    <row r="74" spans="1:19" x14ac:dyDescent="0.3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2"/>
        <v>7592</v>
      </c>
      <c r="S74" s="2">
        <f t="shared" si="3"/>
        <v>13500</v>
      </c>
    </row>
    <row r="75" spans="1:19" x14ac:dyDescent="0.3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2"/>
        <v>5008</v>
      </c>
      <c r="S75" s="2">
        <f t="shared" si="3"/>
        <v>9180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2"/>
        <v>885</v>
      </c>
      <c r="S76" s="2">
        <f t="shared" si="3"/>
        <v>1620</v>
      </c>
    </row>
    <row r="77" spans="1:19" x14ac:dyDescent="0.3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2"/>
        <v>1266</v>
      </c>
      <c r="S78" s="2">
        <f t="shared" si="3"/>
        <v>2320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3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2"/>
        <v>840</v>
      </c>
      <c r="S80" s="2">
        <f t="shared" si="3"/>
        <v>1538</v>
      </c>
    </row>
    <row r="81" spans="1:19" x14ac:dyDescent="0.3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2"/>
        <v>3798</v>
      </c>
      <c r="S81" s="2">
        <f t="shared" si="3"/>
        <v>6960</v>
      </c>
    </row>
    <row r="82" spans="1:19" x14ac:dyDescent="0.3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2"/>
        <v>3756</v>
      </c>
      <c r="S82" s="2">
        <f t="shared" si="3"/>
        <v>6885</v>
      </c>
    </row>
    <row r="83" spans="1:19" x14ac:dyDescent="0.3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2"/>
        <v>308</v>
      </c>
      <c r="S83" s="2">
        <f t="shared" si="3"/>
        <v>565</v>
      </c>
    </row>
    <row r="84" spans="1:19" x14ac:dyDescent="0.3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2"/>
        <v>1252</v>
      </c>
      <c r="S85" s="2">
        <f t="shared" si="3"/>
        <v>2295</v>
      </c>
    </row>
    <row r="86" spans="1:19" x14ac:dyDescent="0.3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2"/>
        <v>1266</v>
      </c>
      <c r="S87" s="2">
        <f t="shared" si="3"/>
        <v>2320</v>
      </c>
    </row>
    <row r="88" spans="1:19" x14ac:dyDescent="0.3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2"/>
        <v>1252</v>
      </c>
      <c r="S88" s="2">
        <f t="shared" si="3"/>
        <v>2295</v>
      </c>
    </row>
    <row r="89" spans="1:19" x14ac:dyDescent="0.3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2"/>
        <v>295</v>
      </c>
      <c r="S89" s="2">
        <f t="shared" si="3"/>
        <v>540</v>
      </c>
    </row>
    <row r="90" spans="1:19" x14ac:dyDescent="0.3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2"/>
        <v>5008</v>
      </c>
      <c r="S90" s="2">
        <f t="shared" si="3"/>
        <v>9180</v>
      </c>
    </row>
  </sheetData>
  <conditionalFormatting sqref="A1:A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611E-CA89-430F-AB97-7E61F442D9C2}">
  <dimension ref="A1:S90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4" max="14" width="16.21875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 t="shared" ref="R2:R33" si="0">N2*O2</f>
        <v>5008</v>
      </c>
      <c r="S2" s="2">
        <f t="shared" ref="S2:S33" si="1">N2*P2</f>
        <v>9180</v>
      </c>
    </row>
    <row r="3" spans="1:19" x14ac:dyDescent="0.3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si="0"/>
        <v>1266</v>
      </c>
      <c r="S3" s="2">
        <f t="shared" si="1"/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3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si="0"/>
        <v>1252</v>
      </c>
      <c r="S9" s="11">
        <f t="shared" si="1"/>
        <v>2295</v>
      </c>
    </row>
    <row r="10" spans="1:19" x14ac:dyDescent="0.3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3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3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3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3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3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3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3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3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3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3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3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3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3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3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ref="R34:R65" si="2">N34*O34</f>
        <v>840</v>
      </c>
      <c r="S34" s="2">
        <f t="shared" ref="S34:S65" si="3">N34*P34</f>
        <v>1538</v>
      </c>
    </row>
    <row r="35" spans="1:19" x14ac:dyDescent="0.3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2"/>
        <v>1252</v>
      </c>
      <c r="S35" s="2">
        <f t="shared" si="3"/>
        <v>2295</v>
      </c>
    </row>
    <row r="36" spans="1:19" x14ac:dyDescent="0.3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2"/>
        <v>420</v>
      </c>
      <c r="S36" s="2">
        <f t="shared" si="3"/>
        <v>769</v>
      </c>
    </row>
    <row r="37" spans="1:19" x14ac:dyDescent="0.3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2"/>
        <v>1266</v>
      </c>
      <c r="S37" s="2">
        <f t="shared" si="3"/>
        <v>2320</v>
      </c>
    </row>
    <row r="38" spans="1:19" x14ac:dyDescent="0.3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2"/>
        <v>5064</v>
      </c>
      <c r="S38" s="2">
        <f t="shared" si="3"/>
        <v>9280</v>
      </c>
    </row>
    <row r="39" spans="1:19" x14ac:dyDescent="0.3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2"/>
        <v>1680</v>
      </c>
      <c r="S39" s="2">
        <f t="shared" si="3"/>
        <v>3076</v>
      </c>
    </row>
    <row r="40" spans="1:19" x14ac:dyDescent="0.3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2"/>
        <v>2504</v>
      </c>
      <c r="S40" s="2">
        <f t="shared" si="3"/>
        <v>4590</v>
      </c>
    </row>
    <row r="41" spans="1:19" x14ac:dyDescent="0.3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2"/>
        <v>1266</v>
      </c>
      <c r="S41" s="2">
        <f t="shared" si="3"/>
        <v>2320</v>
      </c>
    </row>
    <row r="42" spans="1:19" x14ac:dyDescent="0.3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2"/>
        <v>1266</v>
      </c>
      <c r="S42" s="2">
        <f t="shared" si="3"/>
        <v>2320</v>
      </c>
    </row>
    <row r="43" spans="1:19" x14ac:dyDescent="0.3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2"/>
        <v>3798</v>
      </c>
      <c r="S43" s="2">
        <f t="shared" si="3"/>
        <v>6960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2"/>
        <v>308</v>
      </c>
      <c r="S44" s="2">
        <f t="shared" si="3"/>
        <v>565</v>
      </c>
    </row>
    <row r="45" spans="1:19" x14ac:dyDescent="0.3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2"/>
        <v>1252</v>
      </c>
      <c r="S45" s="2">
        <f t="shared" si="3"/>
        <v>2295</v>
      </c>
    </row>
    <row r="46" spans="1:19" x14ac:dyDescent="0.3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2"/>
        <v>1252</v>
      </c>
      <c r="S46" s="2">
        <f t="shared" si="3"/>
        <v>2295</v>
      </c>
    </row>
    <row r="47" spans="1:19" x14ac:dyDescent="0.3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2"/>
        <v>2532</v>
      </c>
      <c r="S47" s="2">
        <f t="shared" si="3"/>
        <v>4640</v>
      </c>
    </row>
    <row r="48" spans="1:19" x14ac:dyDescent="0.3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2"/>
        <v>1252</v>
      </c>
      <c r="S48" s="2">
        <f t="shared" si="3"/>
        <v>2295</v>
      </c>
    </row>
    <row r="49" spans="1:19" x14ac:dyDescent="0.3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2"/>
        <v>420</v>
      </c>
      <c r="S49" s="2">
        <f t="shared" si="3"/>
        <v>769</v>
      </c>
    </row>
    <row r="50" spans="1:19" x14ac:dyDescent="0.3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2"/>
        <v>1266</v>
      </c>
      <c r="S50" s="2">
        <f t="shared" si="3"/>
        <v>2320</v>
      </c>
    </row>
    <row r="51" spans="1:19" x14ac:dyDescent="0.3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2"/>
        <v>2504</v>
      </c>
      <c r="S51" s="2">
        <f t="shared" si="3"/>
        <v>4590</v>
      </c>
    </row>
    <row r="52" spans="1:19" x14ac:dyDescent="0.3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2"/>
        <v>2504</v>
      </c>
      <c r="S52" s="2">
        <f t="shared" si="3"/>
        <v>4590</v>
      </c>
    </row>
    <row r="53" spans="1:19" x14ac:dyDescent="0.3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2"/>
        <v>1266</v>
      </c>
      <c r="S53" s="2">
        <f t="shared" si="3"/>
        <v>2320</v>
      </c>
    </row>
    <row r="54" spans="1:19" x14ac:dyDescent="0.3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2"/>
        <v>2532</v>
      </c>
      <c r="S54" s="2">
        <f t="shared" si="3"/>
        <v>4640</v>
      </c>
    </row>
    <row r="55" spans="1:19" x14ac:dyDescent="0.3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2"/>
        <v>420</v>
      </c>
      <c r="S55" s="2">
        <f t="shared" si="3"/>
        <v>769</v>
      </c>
    </row>
    <row r="56" spans="1:19" x14ac:dyDescent="0.3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2"/>
        <v>1266</v>
      </c>
      <c r="S56" s="2">
        <f t="shared" si="3"/>
        <v>2320</v>
      </c>
    </row>
    <row r="57" spans="1:19" x14ac:dyDescent="0.3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2"/>
        <v>1232</v>
      </c>
      <c r="S57" s="2">
        <f t="shared" si="3"/>
        <v>2260</v>
      </c>
    </row>
    <row r="58" spans="1:19" x14ac:dyDescent="0.3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2"/>
        <v>5064</v>
      </c>
      <c r="S58" s="2">
        <f t="shared" si="3"/>
        <v>9280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2"/>
        <v>3798</v>
      </c>
      <c r="S59" s="2">
        <f t="shared" si="3"/>
        <v>6960</v>
      </c>
    </row>
    <row r="60" spans="1:19" x14ac:dyDescent="0.3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2"/>
        <v>1260</v>
      </c>
      <c r="S60" s="2">
        <f t="shared" si="3"/>
        <v>2307</v>
      </c>
    </row>
    <row r="61" spans="1:19" x14ac:dyDescent="0.3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2"/>
        <v>3756</v>
      </c>
      <c r="S61" s="2">
        <f t="shared" si="3"/>
        <v>6885</v>
      </c>
    </row>
    <row r="62" spans="1:19" x14ac:dyDescent="0.3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2"/>
        <v>1252</v>
      </c>
      <c r="S62" s="2">
        <f t="shared" si="3"/>
        <v>2295</v>
      </c>
    </row>
    <row r="63" spans="1:19" x14ac:dyDescent="0.3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2"/>
        <v>1266</v>
      </c>
      <c r="S63" s="2">
        <f t="shared" si="3"/>
        <v>2320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2"/>
        <v>5064</v>
      </c>
      <c r="S64" s="2">
        <f t="shared" si="3"/>
        <v>9280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2"/>
        <v>1180</v>
      </c>
      <c r="S65" s="2">
        <f t="shared" si="3"/>
        <v>2160</v>
      </c>
    </row>
    <row r="66" spans="1:19" x14ac:dyDescent="0.3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ref="R66:R90" si="4">N66*O66</f>
        <v>5008</v>
      </c>
      <c r="S66" s="2">
        <f t="shared" ref="S66:S90" si="5">N66*P66</f>
        <v>9180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4"/>
        <v>7592</v>
      </c>
      <c r="S67" s="2">
        <f t="shared" si="5"/>
        <v>13500</v>
      </c>
    </row>
    <row r="68" spans="1:19" x14ac:dyDescent="0.3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si="4"/>
        <v>5008</v>
      </c>
      <c r="S68" s="2">
        <f t="shared" si="5"/>
        <v>9180</v>
      </c>
    </row>
    <row r="69" spans="1:19" x14ac:dyDescent="0.3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3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3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3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3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3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3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3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3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3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3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3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3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3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3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3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3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3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conditionalFormatting sqref="A1:A1048576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629B-8480-48FF-8641-211CF7203A98}">
  <dimension ref="A1:S90"/>
  <sheetViews>
    <sheetView zoomScale="70" zoomScaleNormal="70" workbookViewId="0">
      <selection activeCell="Q2" sqref="Q2"/>
    </sheetView>
  </sheetViews>
  <sheetFormatPr baseColWidth="10" defaultColWidth="8.88671875" defaultRowHeight="14.4" x14ac:dyDescent="0.3"/>
  <cols>
    <col min="1" max="1" width="13.33203125" bestFit="1" customWidth="1"/>
    <col min="2" max="2" width="12.21875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4" max="14" width="16.21875" customWidth="1"/>
    <col min="15" max="15" width="10.44140625" bestFit="1" customWidth="1"/>
    <col min="16" max="16" width="11" bestFit="1" customWidth="1"/>
    <col min="17" max="17" width="10.6640625" customWidth="1"/>
    <col min="18" max="18" width="11.109375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 t="shared" ref="R2:R33" si="0">N2*O2</f>
        <v>5008</v>
      </c>
      <c r="S2" s="2">
        <f t="shared" ref="S2:S33" si="1">N2*P2</f>
        <v>9180</v>
      </c>
    </row>
    <row r="3" spans="1:19" x14ac:dyDescent="0.3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si="0"/>
        <v>1266</v>
      </c>
      <c r="S3" s="2">
        <f t="shared" si="1"/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3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0</v>
      </c>
      <c r="Q9" s="2">
        <v>1396</v>
      </c>
      <c r="R9" s="2">
        <f t="shared" si="0"/>
        <v>1680</v>
      </c>
      <c r="S9" s="2">
        <f t="shared" si="1"/>
        <v>0</v>
      </c>
    </row>
    <row r="10" spans="1:19" x14ac:dyDescent="0.3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50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51</v>
      </c>
      <c r="J11" t="s">
        <v>52</v>
      </c>
      <c r="K11" t="s">
        <v>25</v>
      </c>
      <c r="L11" t="s">
        <v>26</v>
      </c>
      <c r="M11" s="5" t="s">
        <v>44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55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28</v>
      </c>
      <c r="I15" t="s">
        <v>59</v>
      </c>
      <c r="J15" t="s">
        <v>60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H16" t="s">
        <v>28</v>
      </c>
      <c r="I16" t="s">
        <v>37</v>
      </c>
      <c r="J16" t="s">
        <v>38</v>
      </c>
      <c r="K16" t="s">
        <v>25</v>
      </c>
      <c r="L16" t="s">
        <v>26</v>
      </c>
      <c r="M16" s="5" t="s">
        <v>62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55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64</v>
      </c>
      <c r="B18" s="1">
        <v>44537</v>
      </c>
      <c r="C18">
        <v>7</v>
      </c>
      <c r="D18" t="s">
        <v>65</v>
      </c>
      <c r="E18">
        <v>2021</v>
      </c>
      <c r="F18">
        <v>30</v>
      </c>
      <c r="G18" s="8" t="s">
        <v>36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66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69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55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72</v>
      </c>
      <c r="K22" t="s">
        <v>25</v>
      </c>
      <c r="L22" t="s">
        <v>26</v>
      </c>
      <c r="M22" s="5"/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74</v>
      </c>
      <c r="O23" s="2">
        <v>295</v>
      </c>
      <c r="P23" s="2">
        <v>540</v>
      </c>
      <c r="Q23" s="2">
        <v>245</v>
      </c>
      <c r="R23" s="2">
        <f t="shared" si="0"/>
        <v>0</v>
      </c>
      <c r="S23" s="2">
        <f t="shared" si="1"/>
        <v>0</v>
      </c>
    </row>
    <row r="24" spans="1:19" x14ac:dyDescent="0.3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76</v>
      </c>
      <c r="K24" t="s">
        <v>25</v>
      </c>
      <c r="L24" t="s">
        <v>26</v>
      </c>
      <c r="M24" s="5" t="s">
        <v>77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79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62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37</v>
      </c>
      <c r="J27" t="s">
        <v>38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44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84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86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37</v>
      </c>
      <c r="J31" t="s">
        <v>38</v>
      </c>
      <c r="K31" t="s">
        <v>25</v>
      </c>
      <c r="L31" t="s">
        <v>26</v>
      </c>
      <c r="M31" s="5" t="s">
        <v>44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89</v>
      </c>
      <c r="J32" t="s">
        <v>90</v>
      </c>
      <c r="K32" t="s">
        <v>25</v>
      </c>
      <c r="L32" t="s">
        <v>26</v>
      </c>
      <c r="M32" s="5" t="s">
        <v>44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66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28</v>
      </c>
      <c r="I34" t="s">
        <v>59</v>
      </c>
      <c r="J34" t="s">
        <v>60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ref="R34:R65" si="2">N34*O34</f>
        <v>1252</v>
      </c>
      <c r="S34" s="2">
        <f t="shared" ref="S34:S65" si="3">N34*P34</f>
        <v>2295</v>
      </c>
    </row>
    <row r="35" spans="1:19" x14ac:dyDescent="0.3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2"/>
        <v>420</v>
      </c>
      <c r="S35" s="2">
        <f t="shared" si="3"/>
        <v>769</v>
      </c>
    </row>
    <row r="36" spans="1:19" x14ac:dyDescent="0.3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55</v>
      </c>
      <c r="N36">
        <v>1</v>
      </c>
      <c r="O36" s="2">
        <v>1266</v>
      </c>
      <c r="P36" s="2">
        <v>2320</v>
      </c>
      <c r="Q36" s="2">
        <v>1054</v>
      </c>
      <c r="R36" s="2">
        <f t="shared" si="2"/>
        <v>1266</v>
      </c>
      <c r="S36" s="2">
        <f t="shared" si="3"/>
        <v>2320</v>
      </c>
    </row>
    <row r="37" spans="1:19" x14ac:dyDescent="0.3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2"/>
        <v>5064</v>
      </c>
      <c r="S37" s="2">
        <f t="shared" si="3"/>
        <v>9280</v>
      </c>
    </row>
    <row r="38" spans="1:19" x14ac:dyDescent="0.3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2"/>
        <v>1680</v>
      </c>
      <c r="S38" s="2">
        <f t="shared" si="3"/>
        <v>3076</v>
      </c>
    </row>
    <row r="39" spans="1:19" x14ac:dyDescent="0.3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28</v>
      </c>
      <c r="I39" t="s">
        <v>37</v>
      </c>
      <c r="J39" t="s">
        <v>38</v>
      </c>
      <c r="K39" t="s">
        <v>25</v>
      </c>
      <c r="L39" t="s">
        <v>26</v>
      </c>
      <c r="M39" s="5" t="s">
        <v>44</v>
      </c>
      <c r="N39">
        <v>2</v>
      </c>
      <c r="O39" s="2">
        <v>1252</v>
      </c>
      <c r="P39" s="2">
        <v>2295</v>
      </c>
      <c r="Q39" s="2">
        <v>2086</v>
      </c>
      <c r="R39" s="2">
        <f t="shared" si="2"/>
        <v>2504</v>
      </c>
      <c r="S39" s="2">
        <f t="shared" si="3"/>
        <v>4590</v>
      </c>
    </row>
    <row r="40" spans="1:19" x14ac:dyDescent="0.3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76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2"/>
        <v>1266</v>
      </c>
      <c r="S40" s="2">
        <f t="shared" si="3"/>
        <v>2320</v>
      </c>
    </row>
    <row r="41" spans="1:19" x14ac:dyDescent="0.3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2"/>
        <v>1266</v>
      </c>
      <c r="S41" s="2">
        <f t="shared" si="3"/>
        <v>2320</v>
      </c>
    </row>
    <row r="42" spans="1:19" x14ac:dyDescent="0.3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2"/>
        <v>3798</v>
      </c>
      <c r="S42" s="2">
        <f t="shared" si="3"/>
        <v>6960</v>
      </c>
    </row>
    <row r="43" spans="1:19" x14ac:dyDescent="0.3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102</v>
      </c>
      <c r="N43">
        <v>1</v>
      </c>
      <c r="O43" s="2">
        <v>308</v>
      </c>
      <c r="P43" s="2">
        <v>565</v>
      </c>
      <c r="Q43" s="2">
        <v>257</v>
      </c>
      <c r="R43" s="2">
        <f t="shared" si="2"/>
        <v>308</v>
      </c>
      <c r="S43" s="2">
        <f t="shared" si="3"/>
        <v>565</v>
      </c>
    </row>
    <row r="44" spans="1:19" x14ac:dyDescent="0.3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44</v>
      </c>
      <c r="N44">
        <v>1</v>
      </c>
      <c r="O44" s="2">
        <v>1252</v>
      </c>
      <c r="P44" s="2">
        <v>2295</v>
      </c>
      <c r="Q44" s="2">
        <v>1043</v>
      </c>
      <c r="R44" s="2">
        <f t="shared" si="2"/>
        <v>1252</v>
      </c>
      <c r="S44" s="2">
        <f t="shared" si="3"/>
        <v>2295</v>
      </c>
    </row>
    <row r="45" spans="1:19" x14ac:dyDescent="0.3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2"/>
        <v>1252</v>
      </c>
      <c r="S45" s="2">
        <f t="shared" si="3"/>
        <v>2295</v>
      </c>
    </row>
    <row r="46" spans="1:19" x14ac:dyDescent="0.3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55</v>
      </c>
      <c r="N46">
        <v>2</v>
      </c>
      <c r="O46" s="2">
        <v>1266</v>
      </c>
      <c r="P46" s="2">
        <v>2320</v>
      </c>
      <c r="Q46" s="2">
        <v>2108</v>
      </c>
      <c r="R46" s="2">
        <f t="shared" si="2"/>
        <v>2532</v>
      </c>
      <c r="S46" s="2">
        <f t="shared" si="3"/>
        <v>4640</v>
      </c>
    </row>
    <row r="47" spans="1:19" x14ac:dyDescent="0.3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2"/>
        <v>1252</v>
      </c>
      <c r="S47" s="2">
        <f t="shared" si="3"/>
        <v>2295</v>
      </c>
    </row>
    <row r="48" spans="1:19" x14ac:dyDescent="0.3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76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2"/>
        <v>420</v>
      </c>
      <c r="S48" s="2">
        <f t="shared" si="3"/>
        <v>769</v>
      </c>
    </row>
    <row r="49" spans="1:19" x14ac:dyDescent="0.3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2"/>
        <v>1266</v>
      </c>
      <c r="S49" s="2">
        <f t="shared" si="3"/>
        <v>2320</v>
      </c>
    </row>
    <row r="50" spans="1:19" x14ac:dyDescent="0.3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44</v>
      </c>
      <c r="N50">
        <v>2</v>
      </c>
      <c r="O50" s="2">
        <v>1252</v>
      </c>
      <c r="P50" s="2">
        <v>2295</v>
      </c>
      <c r="Q50" s="2">
        <v>2086</v>
      </c>
      <c r="R50" s="2">
        <f t="shared" si="2"/>
        <v>2504</v>
      </c>
      <c r="S50" s="2">
        <f t="shared" si="3"/>
        <v>4590</v>
      </c>
    </row>
    <row r="51" spans="1:19" x14ac:dyDescent="0.3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2"/>
        <v>2504</v>
      </c>
      <c r="S51" s="2">
        <f t="shared" si="3"/>
        <v>4590</v>
      </c>
    </row>
    <row r="52" spans="1:19" x14ac:dyDescent="0.3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89</v>
      </c>
      <c r="J52" t="s">
        <v>112</v>
      </c>
      <c r="K52" t="s">
        <v>25</v>
      </c>
      <c r="L52" t="s">
        <v>26</v>
      </c>
      <c r="M52" s="5" t="s">
        <v>113</v>
      </c>
      <c r="N52">
        <v>1</v>
      </c>
      <c r="O52" s="2">
        <v>1266</v>
      </c>
      <c r="P52" s="2">
        <v>2320</v>
      </c>
      <c r="Q52" s="2">
        <v>1054</v>
      </c>
      <c r="R52" s="2">
        <f t="shared" si="2"/>
        <v>1266</v>
      </c>
      <c r="S52" s="2">
        <f t="shared" si="3"/>
        <v>2320</v>
      </c>
    </row>
    <row r="53" spans="1:19" x14ac:dyDescent="0.3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55</v>
      </c>
      <c r="N53">
        <v>2</v>
      </c>
      <c r="O53" s="2">
        <v>1266</v>
      </c>
      <c r="P53" s="2">
        <v>2320</v>
      </c>
      <c r="Q53" s="2">
        <v>2108</v>
      </c>
      <c r="R53" s="2">
        <f t="shared" si="2"/>
        <v>2532</v>
      </c>
      <c r="S53" s="2">
        <f t="shared" si="3"/>
        <v>4640</v>
      </c>
    </row>
    <row r="54" spans="1:19" x14ac:dyDescent="0.3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28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2"/>
        <v>420</v>
      </c>
      <c r="S54" s="2">
        <f t="shared" si="3"/>
        <v>769</v>
      </c>
    </row>
    <row r="55" spans="1:19" x14ac:dyDescent="0.3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113</v>
      </c>
      <c r="N55">
        <v>1</v>
      </c>
      <c r="O55" s="2">
        <v>1266</v>
      </c>
      <c r="P55" s="2">
        <v>2320</v>
      </c>
      <c r="Q55" s="2">
        <v>1054</v>
      </c>
      <c r="R55" s="2">
        <f t="shared" si="2"/>
        <v>1266</v>
      </c>
      <c r="S55" s="2">
        <f t="shared" si="3"/>
        <v>2320</v>
      </c>
    </row>
    <row r="56" spans="1:19" x14ac:dyDescent="0.3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69</v>
      </c>
      <c r="N56">
        <v>4</v>
      </c>
      <c r="O56" s="2">
        <v>308</v>
      </c>
      <c r="P56" s="2">
        <v>565</v>
      </c>
      <c r="Q56" s="2">
        <v>1028</v>
      </c>
      <c r="R56" s="2">
        <f t="shared" si="2"/>
        <v>1232</v>
      </c>
      <c r="S56" s="2">
        <f t="shared" si="3"/>
        <v>2260</v>
      </c>
    </row>
    <row r="57" spans="1:19" x14ac:dyDescent="0.3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113</v>
      </c>
      <c r="N57">
        <v>4</v>
      </c>
      <c r="O57" s="2">
        <v>1266</v>
      </c>
      <c r="P57" s="2">
        <v>2320</v>
      </c>
      <c r="Q57" s="2">
        <v>4216</v>
      </c>
      <c r="R57" s="2">
        <f t="shared" si="2"/>
        <v>5064</v>
      </c>
      <c r="S57" s="2">
        <f t="shared" si="3"/>
        <v>9280</v>
      </c>
    </row>
    <row r="58" spans="1:19" x14ac:dyDescent="0.3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89</v>
      </c>
      <c r="J58" t="s">
        <v>120</v>
      </c>
      <c r="K58" t="s">
        <v>25</v>
      </c>
      <c r="L58" t="s">
        <v>26</v>
      </c>
      <c r="M58" s="5" t="s">
        <v>55</v>
      </c>
      <c r="N58">
        <v>3</v>
      </c>
      <c r="O58" s="2">
        <v>1266</v>
      </c>
      <c r="P58" s="2">
        <v>2320</v>
      </c>
      <c r="Q58" s="2">
        <v>3162</v>
      </c>
      <c r="R58" s="2">
        <f t="shared" si="2"/>
        <v>3798</v>
      </c>
      <c r="S58" s="2">
        <f t="shared" si="3"/>
        <v>6960</v>
      </c>
    </row>
    <row r="59" spans="1:19" x14ac:dyDescent="0.3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2"/>
        <v>1260</v>
      </c>
      <c r="S59" s="2">
        <f t="shared" si="3"/>
        <v>2307</v>
      </c>
    </row>
    <row r="60" spans="1:19" x14ac:dyDescent="0.3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62</v>
      </c>
      <c r="N60">
        <v>3</v>
      </c>
      <c r="O60" s="2">
        <v>1252</v>
      </c>
      <c r="P60" s="2">
        <v>2295</v>
      </c>
      <c r="Q60" s="2">
        <v>3129</v>
      </c>
      <c r="R60" s="2">
        <f t="shared" si="2"/>
        <v>3756</v>
      </c>
      <c r="S60" s="2">
        <f t="shared" si="3"/>
        <v>6885</v>
      </c>
    </row>
    <row r="61" spans="1:19" x14ac:dyDescent="0.3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28</v>
      </c>
      <c r="I61" t="s">
        <v>89</v>
      </c>
      <c r="J61" t="s">
        <v>90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2"/>
        <v>1252</v>
      </c>
      <c r="S61" s="2">
        <f t="shared" si="3"/>
        <v>2295</v>
      </c>
    </row>
    <row r="62" spans="1:19" x14ac:dyDescent="0.3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47</v>
      </c>
      <c r="K62" t="s">
        <v>25</v>
      </c>
      <c r="L62" t="s">
        <v>26</v>
      </c>
      <c r="M62" s="5" t="s">
        <v>55</v>
      </c>
      <c r="N62">
        <v>1</v>
      </c>
      <c r="O62" s="2">
        <v>1266</v>
      </c>
      <c r="P62" s="2">
        <v>2320</v>
      </c>
      <c r="Q62" s="2">
        <v>1054</v>
      </c>
      <c r="R62" s="2">
        <f t="shared" si="2"/>
        <v>1266</v>
      </c>
      <c r="S62" s="2">
        <f t="shared" si="3"/>
        <v>2320</v>
      </c>
    </row>
    <row r="63" spans="1:19" x14ac:dyDescent="0.3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28</v>
      </c>
      <c r="I63" t="s">
        <v>89</v>
      </c>
      <c r="J63" t="s">
        <v>126</v>
      </c>
      <c r="K63" t="s">
        <v>25</v>
      </c>
      <c r="L63" t="s">
        <v>26</v>
      </c>
      <c r="M63" s="5" t="s">
        <v>113</v>
      </c>
      <c r="N63">
        <v>4</v>
      </c>
      <c r="O63" s="2">
        <v>1266</v>
      </c>
      <c r="P63" s="2">
        <v>2320</v>
      </c>
      <c r="Q63" s="2">
        <v>4216</v>
      </c>
      <c r="R63" s="2">
        <f t="shared" si="2"/>
        <v>5064</v>
      </c>
      <c r="S63" s="2">
        <f t="shared" si="3"/>
        <v>9280</v>
      </c>
    </row>
    <row r="64" spans="1:19" x14ac:dyDescent="0.3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76</v>
      </c>
      <c r="K64" t="s">
        <v>25</v>
      </c>
      <c r="L64" t="s">
        <v>26</v>
      </c>
      <c r="M64" s="5" t="s">
        <v>128</v>
      </c>
      <c r="N64">
        <v>4</v>
      </c>
      <c r="O64" s="2">
        <v>295</v>
      </c>
      <c r="P64" s="2">
        <v>540</v>
      </c>
      <c r="Q64" s="2">
        <v>980</v>
      </c>
      <c r="R64" s="2">
        <f t="shared" si="2"/>
        <v>1180</v>
      </c>
      <c r="S64" s="2">
        <f t="shared" si="3"/>
        <v>2160</v>
      </c>
    </row>
    <row r="65" spans="1:19" x14ac:dyDescent="0.3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28</v>
      </c>
      <c r="I65" t="s">
        <v>89</v>
      </c>
      <c r="J65" t="s">
        <v>90</v>
      </c>
      <c r="K65" t="s">
        <v>25</v>
      </c>
      <c r="L65" t="s">
        <v>26</v>
      </c>
      <c r="M65" s="5" t="s">
        <v>44</v>
      </c>
      <c r="N65">
        <v>4</v>
      </c>
      <c r="O65" s="2">
        <v>1252</v>
      </c>
      <c r="P65" s="2">
        <v>2295</v>
      </c>
      <c r="Q65" s="2">
        <v>4172</v>
      </c>
      <c r="R65" s="2">
        <f t="shared" si="2"/>
        <v>5008</v>
      </c>
      <c r="S65" s="2">
        <f t="shared" si="3"/>
        <v>9180</v>
      </c>
    </row>
    <row r="66" spans="1:19" x14ac:dyDescent="0.3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72</v>
      </c>
      <c r="K66" t="s">
        <v>25</v>
      </c>
      <c r="L66" t="s">
        <v>26</v>
      </c>
      <c r="M66" s="5" t="s">
        <v>131</v>
      </c>
      <c r="N66">
        <v>4</v>
      </c>
      <c r="O66" s="2">
        <v>1898</v>
      </c>
      <c r="P66" s="2">
        <v>3375</v>
      </c>
      <c r="Q66" s="2">
        <v>5908</v>
      </c>
      <c r="R66" s="2">
        <f t="shared" ref="R66:R89" si="4">N66*O66</f>
        <v>7592</v>
      </c>
      <c r="S66" s="2">
        <f t="shared" ref="S66:S89" si="5">N66*P66</f>
        <v>13500</v>
      </c>
    </row>
    <row r="67" spans="1:19" x14ac:dyDescent="0.3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72</v>
      </c>
      <c r="K67" t="s">
        <v>25</v>
      </c>
      <c r="L67" t="s">
        <v>26</v>
      </c>
      <c r="M67" s="5" t="s">
        <v>44</v>
      </c>
      <c r="N67">
        <v>4</v>
      </c>
      <c r="O67" s="2">
        <v>1252</v>
      </c>
      <c r="P67" s="2">
        <v>2295</v>
      </c>
      <c r="Q67" s="2">
        <v>4172</v>
      </c>
      <c r="R67" s="2">
        <f t="shared" si="4"/>
        <v>5008</v>
      </c>
      <c r="S67" s="2">
        <f t="shared" si="5"/>
        <v>9180</v>
      </c>
    </row>
    <row r="68" spans="1:19" x14ac:dyDescent="0.3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4"/>
        <v>5008</v>
      </c>
      <c r="S68" s="2">
        <f t="shared" si="5"/>
        <v>9180</v>
      </c>
    </row>
    <row r="69" spans="1:19" x14ac:dyDescent="0.3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3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28</v>
      </c>
      <c r="I70" t="s">
        <v>37</v>
      </c>
      <c r="J70" t="s">
        <v>136</v>
      </c>
      <c r="K70" t="s">
        <v>25</v>
      </c>
      <c r="L70" t="s">
        <v>26</v>
      </c>
      <c r="M70" s="5" t="s">
        <v>84</v>
      </c>
      <c r="N70">
        <v>2</v>
      </c>
      <c r="O70" s="2">
        <v>295</v>
      </c>
      <c r="P70" s="2">
        <v>540</v>
      </c>
      <c r="Q70" s="2">
        <v>490</v>
      </c>
      <c r="R70" s="2">
        <f t="shared" si="4"/>
        <v>590</v>
      </c>
      <c r="S70" s="2">
        <f t="shared" si="5"/>
        <v>1080</v>
      </c>
    </row>
    <row r="71" spans="1:19" x14ac:dyDescent="0.3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138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4"/>
        <v>2504</v>
      </c>
      <c r="S71" s="2">
        <f t="shared" si="5"/>
        <v>4590</v>
      </c>
    </row>
    <row r="72" spans="1:19" x14ac:dyDescent="0.3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55</v>
      </c>
      <c r="N72">
        <v>1</v>
      </c>
      <c r="O72" s="2">
        <v>1266</v>
      </c>
      <c r="P72" s="2">
        <v>2320</v>
      </c>
      <c r="Q72" s="2">
        <v>1054</v>
      </c>
      <c r="R72" s="2">
        <f t="shared" si="4"/>
        <v>1266</v>
      </c>
      <c r="S72" s="2">
        <f t="shared" si="5"/>
        <v>2320</v>
      </c>
    </row>
    <row r="73" spans="1:19" x14ac:dyDescent="0.3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76</v>
      </c>
      <c r="K73" t="s">
        <v>25</v>
      </c>
      <c r="L73" t="s">
        <v>26</v>
      </c>
      <c r="M73" s="5" t="s">
        <v>77</v>
      </c>
      <c r="N73">
        <v>4</v>
      </c>
      <c r="O73" s="2">
        <v>1898</v>
      </c>
      <c r="P73" s="2">
        <v>3375</v>
      </c>
      <c r="Q73" s="2">
        <v>5908</v>
      </c>
      <c r="R73" s="2">
        <f t="shared" si="4"/>
        <v>7592</v>
      </c>
      <c r="S73" s="2">
        <f t="shared" si="5"/>
        <v>13500</v>
      </c>
    </row>
    <row r="74" spans="1:19" x14ac:dyDescent="0.3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37</v>
      </c>
      <c r="J74" t="s">
        <v>54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4"/>
        <v>5008</v>
      </c>
      <c r="S74" s="2">
        <f t="shared" si="5"/>
        <v>9180</v>
      </c>
    </row>
    <row r="75" spans="1:19" x14ac:dyDescent="0.3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28</v>
      </c>
      <c r="I75" t="s">
        <v>59</v>
      </c>
      <c r="J75" t="s">
        <v>60</v>
      </c>
      <c r="K75" t="s">
        <v>25</v>
      </c>
      <c r="L75" t="s">
        <v>26</v>
      </c>
      <c r="M75" s="5" t="s">
        <v>143</v>
      </c>
      <c r="N75">
        <v>3</v>
      </c>
      <c r="O75" s="2">
        <v>295</v>
      </c>
      <c r="P75" s="2">
        <v>540</v>
      </c>
      <c r="Q75" s="2">
        <v>735</v>
      </c>
      <c r="R75" s="2">
        <f t="shared" si="4"/>
        <v>885</v>
      </c>
      <c r="S75" s="2">
        <f t="shared" si="5"/>
        <v>1620</v>
      </c>
    </row>
    <row r="76" spans="1:19" x14ac:dyDescent="0.3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55</v>
      </c>
      <c r="N76">
        <v>1</v>
      </c>
      <c r="O76" s="2">
        <v>1266</v>
      </c>
      <c r="P76" s="2">
        <v>2320</v>
      </c>
      <c r="Q76" s="2">
        <v>1054</v>
      </c>
      <c r="R76" s="2">
        <f t="shared" si="4"/>
        <v>1266</v>
      </c>
      <c r="S76" s="2">
        <f t="shared" si="5"/>
        <v>2320</v>
      </c>
    </row>
    <row r="77" spans="1:19" x14ac:dyDescent="0.3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37</v>
      </c>
      <c r="J77" t="s">
        <v>76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3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28</v>
      </c>
      <c r="I78" t="s">
        <v>89</v>
      </c>
      <c r="J78" t="s">
        <v>147</v>
      </c>
      <c r="K78" t="s">
        <v>25</v>
      </c>
      <c r="L78" t="s">
        <v>26</v>
      </c>
      <c r="M78" s="5" t="s">
        <v>55</v>
      </c>
      <c r="N78">
        <v>3</v>
      </c>
      <c r="O78" s="2">
        <v>1266</v>
      </c>
      <c r="P78" s="2">
        <v>2320</v>
      </c>
      <c r="Q78" s="2">
        <v>3162</v>
      </c>
      <c r="R78" s="2">
        <f t="shared" si="4"/>
        <v>3798</v>
      </c>
      <c r="S78" s="2">
        <f t="shared" si="5"/>
        <v>6960</v>
      </c>
    </row>
    <row r="79" spans="1:19" x14ac:dyDescent="0.3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4"/>
        <v>840</v>
      </c>
      <c r="S79" s="2">
        <f t="shared" si="5"/>
        <v>1538</v>
      </c>
    </row>
    <row r="80" spans="1:19" x14ac:dyDescent="0.3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55</v>
      </c>
      <c r="N80">
        <v>3</v>
      </c>
      <c r="O80" s="2">
        <v>1266</v>
      </c>
      <c r="P80" s="2">
        <v>2320</v>
      </c>
      <c r="Q80" s="2">
        <v>3162</v>
      </c>
      <c r="R80" s="2">
        <f t="shared" si="4"/>
        <v>3798</v>
      </c>
      <c r="S80" s="2">
        <f t="shared" si="5"/>
        <v>6960</v>
      </c>
    </row>
    <row r="81" spans="1:19" x14ac:dyDescent="0.3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62</v>
      </c>
      <c r="N81">
        <v>3</v>
      </c>
      <c r="O81" s="2">
        <v>1252</v>
      </c>
      <c r="P81" s="2">
        <v>2295</v>
      </c>
      <c r="Q81" s="2">
        <v>3129</v>
      </c>
      <c r="R81" s="2">
        <f t="shared" si="4"/>
        <v>3756</v>
      </c>
      <c r="S81" s="2">
        <f t="shared" si="5"/>
        <v>6885</v>
      </c>
    </row>
    <row r="82" spans="1:19" x14ac:dyDescent="0.3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69</v>
      </c>
      <c r="N82">
        <v>1</v>
      </c>
      <c r="O82" s="2">
        <v>308</v>
      </c>
      <c r="P82" s="2">
        <v>565</v>
      </c>
      <c r="Q82" s="2">
        <v>257</v>
      </c>
      <c r="R82" s="2">
        <f t="shared" si="4"/>
        <v>308</v>
      </c>
      <c r="S82" s="2">
        <f t="shared" si="5"/>
        <v>565</v>
      </c>
    </row>
    <row r="83" spans="1:19" x14ac:dyDescent="0.3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28</v>
      </c>
      <c r="I83" t="s">
        <v>89</v>
      </c>
      <c r="J83" t="s">
        <v>90</v>
      </c>
      <c r="K83" t="s">
        <v>25</v>
      </c>
      <c r="L83" t="s">
        <v>26</v>
      </c>
      <c r="M83" s="5" t="s">
        <v>44</v>
      </c>
      <c r="N83">
        <v>1</v>
      </c>
      <c r="O83" s="2">
        <v>1252</v>
      </c>
      <c r="P83" s="2">
        <v>2295</v>
      </c>
      <c r="Q83" s="2">
        <v>1043</v>
      </c>
      <c r="R83" s="2">
        <f t="shared" si="4"/>
        <v>1252</v>
      </c>
      <c r="S83" s="2">
        <f t="shared" si="5"/>
        <v>2295</v>
      </c>
    </row>
    <row r="84" spans="1:19" x14ac:dyDescent="0.3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3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51</v>
      </c>
      <c r="J85" t="s">
        <v>138</v>
      </c>
      <c r="K85" t="s">
        <v>25</v>
      </c>
      <c r="L85" t="s">
        <v>26</v>
      </c>
      <c r="M85" s="5" t="s">
        <v>55</v>
      </c>
      <c r="N85">
        <v>1</v>
      </c>
      <c r="O85" s="2">
        <v>1266</v>
      </c>
      <c r="P85" s="2">
        <v>2320</v>
      </c>
      <c r="Q85" s="2">
        <v>1054</v>
      </c>
      <c r="R85" s="2">
        <f t="shared" si="4"/>
        <v>1266</v>
      </c>
      <c r="S85" s="2">
        <f t="shared" si="5"/>
        <v>2320</v>
      </c>
    </row>
    <row r="86" spans="1:19" x14ac:dyDescent="0.3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72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3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62</v>
      </c>
      <c r="N87">
        <v>1</v>
      </c>
      <c r="O87" s="2">
        <v>1252</v>
      </c>
      <c r="P87" s="2">
        <v>2295</v>
      </c>
      <c r="Q87" s="2">
        <v>1043</v>
      </c>
      <c r="R87" s="2">
        <f t="shared" si="4"/>
        <v>1252</v>
      </c>
      <c r="S87" s="2">
        <f t="shared" si="5"/>
        <v>2295</v>
      </c>
    </row>
    <row r="88" spans="1:19" x14ac:dyDescent="0.3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74</v>
      </c>
      <c r="N88">
        <v>1</v>
      </c>
      <c r="O88" s="2">
        <v>295</v>
      </c>
      <c r="P88" s="2">
        <v>540</v>
      </c>
      <c r="Q88" s="2">
        <v>245</v>
      </c>
      <c r="R88" s="2">
        <f t="shared" si="4"/>
        <v>295</v>
      </c>
      <c r="S88" s="2">
        <f t="shared" si="5"/>
        <v>540</v>
      </c>
    </row>
    <row r="89" spans="1:19" x14ac:dyDescent="0.3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37</v>
      </c>
      <c r="J89" t="s">
        <v>54</v>
      </c>
      <c r="K89" t="s">
        <v>25</v>
      </c>
      <c r="L89" t="s">
        <v>26</v>
      </c>
      <c r="M89" s="5" t="s">
        <v>62</v>
      </c>
      <c r="N89">
        <v>4</v>
      </c>
      <c r="O89" s="2">
        <v>1252</v>
      </c>
      <c r="P89" s="2">
        <v>2295</v>
      </c>
      <c r="Q89" s="2">
        <v>4172</v>
      </c>
      <c r="R89" s="2">
        <f t="shared" si="4"/>
        <v>5008</v>
      </c>
      <c r="S89" s="2">
        <f t="shared" si="5"/>
        <v>9180</v>
      </c>
    </row>
    <row r="90" spans="1:19" x14ac:dyDescent="0.3">
      <c r="G90"/>
    </row>
  </sheetData>
  <conditionalFormatting sqref="A1:A89">
    <cfRule type="duplicateValues" dxfId="3" priority="4"/>
  </conditionalFormatting>
  <conditionalFormatting sqref="A1:S89">
    <cfRule type="containsBlanks" dxfId="2" priority="1">
      <formula>LEN(TRIM(A1))=0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4929-6548-4874-BF01-975EC70B2764}">
  <dimension ref="A1:U90"/>
  <sheetViews>
    <sheetView zoomScale="70" zoomScaleNormal="70" workbookViewId="0">
      <selection activeCell="K41" sqref="K41"/>
    </sheetView>
  </sheetViews>
  <sheetFormatPr baseColWidth="10" defaultColWidth="8.88671875" defaultRowHeight="14.4" x14ac:dyDescent="0.3"/>
  <cols>
    <col min="1" max="1" width="13.33203125" bestFit="1" customWidth="1"/>
    <col min="2" max="2" width="11.44140625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1" max="11" width="16.6640625" customWidth="1"/>
    <col min="12" max="12" width="14.88671875" bestFit="1" customWidth="1"/>
    <col min="13" max="13" width="25" bestFit="1" customWidth="1"/>
    <col min="15" max="15" width="9.21875" customWidth="1"/>
    <col min="16" max="16" width="10.44140625" bestFit="1" customWidth="1"/>
    <col min="17" max="17" width="11" bestFit="1" customWidth="1"/>
    <col min="18" max="18" width="11.109375" customWidth="1"/>
    <col min="19" max="19" width="12" customWidth="1"/>
    <col min="20" max="20" width="10.88671875" bestFit="1" customWidth="1"/>
    <col min="21" max="21" width="12.21875" customWidth="1"/>
  </cols>
  <sheetData>
    <row r="1" spans="1:21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168</v>
      </c>
      <c r="N1" s="4" t="s">
        <v>167</v>
      </c>
      <c r="O1" s="4" t="s">
        <v>160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161</v>
      </c>
      <c r="N2" t="s">
        <v>162</v>
      </c>
      <c r="O2">
        <v>46</v>
      </c>
      <c r="P2">
        <v>4</v>
      </c>
      <c r="Q2" s="2">
        <v>1252</v>
      </c>
      <c r="R2" s="2">
        <v>2295</v>
      </c>
      <c r="S2" s="2">
        <v>4172</v>
      </c>
      <c r="T2" s="2">
        <f t="shared" ref="T2:T65" si="0">P2*Q2</f>
        <v>5008</v>
      </c>
      <c r="U2" s="2">
        <f t="shared" ref="U2:U65" si="1">P2*R2</f>
        <v>9180</v>
      </c>
    </row>
    <row r="3" spans="1:21" x14ac:dyDescent="0.3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161</v>
      </c>
      <c r="N3" t="s">
        <v>163</v>
      </c>
      <c r="O3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si="0"/>
        <v>1266</v>
      </c>
      <c r="U3" s="2">
        <f t="shared" si="1"/>
        <v>2320</v>
      </c>
    </row>
    <row r="4" spans="1:21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164</v>
      </c>
      <c r="N4" t="s">
        <v>163</v>
      </c>
      <c r="O4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164</v>
      </c>
      <c r="N5" t="s">
        <v>163</v>
      </c>
      <c r="O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161</v>
      </c>
      <c r="N6" t="s">
        <v>162</v>
      </c>
      <c r="O6">
        <v>46</v>
      </c>
      <c r="P6">
        <v>2</v>
      </c>
      <c r="Q6" s="2">
        <v>0</v>
      </c>
      <c r="R6" s="2">
        <v>2295</v>
      </c>
      <c r="S6" s="2">
        <v>2086</v>
      </c>
      <c r="T6" s="2">
        <f t="shared" si="0"/>
        <v>0</v>
      </c>
      <c r="U6" s="2">
        <f t="shared" si="1"/>
        <v>4590</v>
      </c>
    </row>
    <row r="7" spans="1:21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161</v>
      </c>
      <c r="N7" t="s">
        <v>162</v>
      </c>
      <c r="O7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161</v>
      </c>
      <c r="N8" t="s">
        <v>162</v>
      </c>
      <c r="O8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s="9" customFormat="1" x14ac:dyDescent="0.3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164</v>
      </c>
      <c r="N9" s="9" t="s">
        <v>163</v>
      </c>
      <c r="O9" s="9">
        <v>42</v>
      </c>
      <c r="P9">
        <v>4</v>
      </c>
      <c r="Q9" s="2">
        <v>420</v>
      </c>
      <c r="R9" s="2">
        <v>0</v>
      </c>
      <c r="S9" s="2">
        <v>1396</v>
      </c>
      <c r="T9" s="2">
        <f t="shared" si="0"/>
        <v>1680</v>
      </c>
      <c r="U9" s="2">
        <f t="shared" si="1"/>
        <v>0</v>
      </c>
    </row>
    <row r="10" spans="1:21" x14ac:dyDescent="0.3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161</v>
      </c>
      <c r="N10" t="s">
        <v>162</v>
      </c>
      <c r="O10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3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51</v>
      </c>
      <c r="J11" t="s">
        <v>52</v>
      </c>
      <c r="K11" t="s">
        <v>25</v>
      </c>
      <c r="L11" t="s">
        <v>26</v>
      </c>
      <c r="M11" s="5" t="s">
        <v>161</v>
      </c>
      <c r="N11" t="s">
        <v>162</v>
      </c>
      <c r="O11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3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54</v>
      </c>
      <c r="K12" t="s">
        <v>25</v>
      </c>
      <c r="L12" t="s">
        <v>26</v>
      </c>
      <c r="M12" s="5" t="s">
        <v>161</v>
      </c>
      <c r="N12" t="s">
        <v>163</v>
      </c>
      <c r="O12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3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161</v>
      </c>
      <c r="N13" t="s">
        <v>162</v>
      </c>
      <c r="O13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3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164</v>
      </c>
      <c r="N14" t="s">
        <v>163</v>
      </c>
      <c r="O14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3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28</v>
      </c>
      <c r="I15" t="s">
        <v>59</v>
      </c>
      <c r="J15" t="s">
        <v>60</v>
      </c>
      <c r="K15" t="s">
        <v>25</v>
      </c>
      <c r="L15" t="s">
        <v>26</v>
      </c>
      <c r="M15" s="5" t="s">
        <v>161</v>
      </c>
      <c r="N15" t="s">
        <v>162</v>
      </c>
      <c r="O1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3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43</v>
      </c>
      <c r="H16" t="s">
        <v>28</v>
      </c>
      <c r="I16" t="s">
        <v>37</v>
      </c>
      <c r="J16" t="s">
        <v>38</v>
      </c>
      <c r="K16" t="s">
        <v>25</v>
      </c>
      <c r="L16" t="s">
        <v>26</v>
      </c>
      <c r="M16" s="5" t="s">
        <v>161</v>
      </c>
      <c r="N16" t="s">
        <v>162</v>
      </c>
      <c r="O16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3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161</v>
      </c>
      <c r="N17" t="s">
        <v>163</v>
      </c>
      <c r="O17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3">
      <c r="A18" s="3" t="s">
        <v>64</v>
      </c>
      <c r="B18" s="1">
        <v>44537</v>
      </c>
      <c r="C18">
        <v>7</v>
      </c>
      <c r="D18" t="s">
        <v>65</v>
      </c>
      <c r="E18">
        <v>2021</v>
      </c>
      <c r="F18">
        <v>30</v>
      </c>
      <c r="G18" s="8" t="s">
        <v>36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164</v>
      </c>
      <c r="N18" t="s">
        <v>163</v>
      </c>
      <c r="O18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3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161</v>
      </c>
      <c r="N19" t="s">
        <v>163</v>
      </c>
      <c r="O19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3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165</v>
      </c>
      <c r="N20" t="s">
        <v>163</v>
      </c>
      <c r="O20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3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 t="s">
        <v>60</v>
      </c>
      <c r="K21" t="s">
        <v>25</v>
      </c>
      <c r="L21" t="s">
        <v>26</v>
      </c>
      <c r="M21" s="5" t="s">
        <v>161</v>
      </c>
      <c r="N21" t="s">
        <v>163</v>
      </c>
      <c r="O21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3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72</v>
      </c>
      <c r="K22" t="s">
        <v>25</v>
      </c>
      <c r="L22" t="s">
        <v>26</v>
      </c>
      <c r="M22" s="5" t="s">
        <v>161</v>
      </c>
      <c r="N22" t="s">
        <v>162</v>
      </c>
      <c r="O22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3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165</v>
      </c>
      <c r="N23" t="s">
        <v>162</v>
      </c>
      <c r="O23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3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76</v>
      </c>
      <c r="K24" t="s">
        <v>25</v>
      </c>
      <c r="L24" t="s">
        <v>26</v>
      </c>
      <c r="M24" s="5" t="s">
        <v>166</v>
      </c>
      <c r="N24" t="s">
        <v>162</v>
      </c>
      <c r="O24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3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 t="s">
        <v>79</v>
      </c>
      <c r="K25" t="s">
        <v>25</v>
      </c>
      <c r="L25" t="s">
        <v>26</v>
      </c>
      <c r="M25" s="5" t="s">
        <v>161</v>
      </c>
      <c r="N25" t="s">
        <v>163</v>
      </c>
      <c r="O2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3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161</v>
      </c>
      <c r="N26" t="s">
        <v>162</v>
      </c>
      <c r="O26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3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37</v>
      </c>
      <c r="J27" t="s">
        <v>38</v>
      </c>
      <c r="K27" t="s">
        <v>25</v>
      </c>
      <c r="L27" t="s">
        <v>26</v>
      </c>
      <c r="M27" s="5" t="s">
        <v>161</v>
      </c>
      <c r="N27" t="s">
        <v>162</v>
      </c>
      <c r="O27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3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161</v>
      </c>
      <c r="N28" t="s">
        <v>162</v>
      </c>
      <c r="O28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3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165</v>
      </c>
      <c r="N29" t="s">
        <v>162</v>
      </c>
      <c r="O29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3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47</v>
      </c>
      <c r="K30" t="s">
        <v>25</v>
      </c>
      <c r="L30" t="s">
        <v>26</v>
      </c>
      <c r="M30" s="5" t="s">
        <v>166</v>
      </c>
      <c r="N30" t="s">
        <v>163</v>
      </c>
      <c r="O30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3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37</v>
      </c>
      <c r="J31" t="s">
        <v>38</v>
      </c>
      <c r="K31" t="s">
        <v>25</v>
      </c>
      <c r="L31" t="s">
        <v>26</v>
      </c>
      <c r="M31" s="5" t="s">
        <v>161</v>
      </c>
      <c r="N31" t="s">
        <v>162</v>
      </c>
      <c r="O31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3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89</v>
      </c>
      <c r="J32" t="s">
        <v>90</v>
      </c>
      <c r="K32" t="s">
        <v>25</v>
      </c>
      <c r="L32" t="s">
        <v>26</v>
      </c>
      <c r="M32" s="5" t="s">
        <v>161</v>
      </c>
      <c r="N32" t="s">
        <v>162</v>
      </c>
      <c r="O32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3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164</v>
      </c>
      <c r="N33" t="s">
        <v>163</v>
      </c>
      <c r="O33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3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28</v>
      </c>
      <c r="I34" t="s">
        <v>59</v>
      </c>
      <c r="J34" t="s">
        <v>60</v>
      </c>
      <c r="K34" t="s">
        <v>25</v>
      </c>
      <c r="L34" t="s">
        <v>26</v>
      </c>
      <c r="M34" s="5" t="s">
        <v>161</v>
      </c>
      <c r="N34" t="s">
        <v>162</v>
      </c>
      <c r="O34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si="0"/>
        <v>1252</v>
      </c>
      <c r="U34" s="2">
        <f t="shared" si="1"/>
        <v>2295</v>
      </c>
    </row>
    <row r="35" spans="1:21" x14ac:dyDescent="0.3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164</v>
      </c>
      <c r="N35" t="s">
        <v>163</v>
      </c>
      <c r="O3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0"/>
        <v>420</v>
      </c>
      <c r="U35" s="2">
        <f t="shared" si="1"/>
        <v>769</v>
      </c>
    </row>
    <row r="36" spans="1:21" x14ac:dyDescent="0.3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161</v>
      </c>
      <c r="N36" t="s">
        <v>163</v>
      </c>
      <c r="O36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0"/>
        <v>1266</v>
      </c>
      <c r="U36" s="2">
        <f t="shared" si="1"/>
        <v>2320</v>
      </c>
    </row>
    <row r="37" spans="1:21" x14ac:dyDescent="0.3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161</v>
      </c>
      <c r="N37" t="s">
        <v>163</v>
      </c>
      <c r="O37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0"/>
        <v>5064</v>
      </c>
      <c r="U37" s="2">
        <f t="shared" si="1"/>
        <v>9280</v>
      </c>
    </row>
    <row r="38" spans="1:21" x14ac:dyDescent="0.3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164</v>
      </c>
      <c r="N38" t="s">
        <v>163</v>
      </c>
      <c r="O38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0"/>
        <v>1680</v>
      </c>
      <c r="U38" s="2">
        <f t="shared" si="1"/>
        <v>3076</v>
      </c>
    </row>
    <row r="39" spans="1:21" x14ac:dyDescent="0.3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28</v>
      </c>
      <c r="I39" t="s">
        <v>37</v>
      </c>
      <c r="J39" t="s">
        <v>38</v>
      </c>
      <c r="K39" t="s">
        <v>25</v>
      </c>
      <c r="L39" t="s">
        <v>26</v>
      </c>
      <c r="M39" s="5" t="s">
        <v>161</v>
      </c>
      <c r="N39" t="s">
        <v>162</v>
      </c>
      <c r="O39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0"/>
        <v>2504</v>
      </c>
      <c r="U39" s="2">
        <f t="shared" si="1"/>
        <v>4590</v>
      </c>
    </row>
    <row r="40" spans="1:21" x14ac:dyDescent="0.3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76</v>
      </c>
      <c r="K40" t="s">
        <v>25</v>
      </c>
      <c r="L40" t="s">
        <v>26</v>
      </c>
      <c r="M40" s="5" t="s">
        <v>161</v>
      </c>
      <c r="N40" t="s">
        <v>163</v>
      </c>
      <c r="O40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0"/>
        <v>1266</v>
      </c>
      <c r="U40" s="2">
        <f t="shared" si="1"/>
        <v>2320</v>
      </c>
    </row>
    <row r="41" spans="1:21" x14ac:dyDescent="0.3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47</v>
      </c>
      <c r="K41" t="s">
        <v>25</v>
      </c>
      <c r="L41" t="s">
        <v>26</v>
      </c>
      <c r="M41" s="5" t="s">
        <v>161</v>
      </c>
      <c r="N41" t="s">
        <v>163</v>
      </c>
      <c r="O41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3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54</v>
      </c>
      <c r="K42" t="s">
        <v>25</v>
      </c>
      <c r="L42" t="s">
        <v>26</v>
      </c>
      <c r="M42" s="5" t="s">
        <v>161</v>
      </c>
      <c r="N42" t="s">
        <v>163</v>
      </c>
      <c r="O42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0"/>
        <v>3798</v>
      </c>
      <c r="U42" s="2">
        <f t="shared" si="1"/>
        <v>6960</v>
      </c>
    </row>
    <row r="43" spans="1:21" x14ac:dyDescent="0.3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165</v>
      </c>
      <c r="N43" t="s">
        <v>163</v>
      </c>
      <c r="O43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0"/>
        <v>308</v>
      </c>
      <c r="U43" s="2">
        <f t="shared" si="1"/>
        <v>565</v>
      </c>
    </row>
    <row r="44" spans="1:21" x14ac:dyDescent="0.3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161</v>
      </c>
      <c r="N44" t="s">
        <v>162</v>
      </c>
      <c r="O44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0"/>
        <v>1252</v>
      </c>
      <c r="U44" s="2">
        <f t="shared" si="1"/>
        <v>2295</v>
      </c>
    </row>
    <row r="45" spans="1:21" x14ac:dyDescent="0.3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161</v>
      </c>
      <c r="N45" t="s">
        <v>162</v>
      </c>
      <c r="O4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3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47</v>
      </c>
      <c r="K46" t="s">
        <v>25</v>
      </c>
      <c r="L46" t="s">
        <v>26</v>
      </c>
      <c r="M46" s="5" t="s">
        <v>161</v>
      </c>
      <c r="N46" t="s">
        <v>163</v>
      </c>
      <c r="O46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0"/>
        <v>2532</v>
      </c>
      <c r="U46" s="2">
        <f t="shared" si="1"/>
        <v>4640</v>
      </c>
    </row>
    <row r="47" spans="1:21" x14ac:dyDescent="0.3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161</v>
      </c>
      <c r="N47" t="s">
        <v>162</v>
      </c>
      <c r="O47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0"/>
        <v>1252</v>
      </c>
      <c r="U47" s="2">
        <f t="shared" si="1"/>
        <v>2295</v>
      </c>
    </row>
    <row r="48" spans="1:21" x14ac:dyDescent="0.3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76</v>
      </c>
      <c r="K48" t="s">
        <v>25</v>
      </c>
      <c r="L48" t="s">
        <v>26</v>
      </c>
      <c r="M48" s="5" t="s">
        <v>164</v>
      </c>
      <c r="N48" t="s">
        <v>163</v>
      </c>
      <c r="O48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0"/>
        <v>420</v>
      </c>
      <c r="U48" s="2">
        <f t="shared" si="1"/>
        <v>769</v>
      </c>
    </row>
    <row r="49" spans="1:21" x14ac:dyDescent="0.3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161</v>
      </c>
      <c r="N49" t="s">
        <v>163</v>
      </c>
      <c r="O49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0"/>
        <v>1266</v>
      </c>
      <c r="U49" s="2">
        <f t="shared" si="1"/>
        <v>2320</v>
      </c>
    </row>
    <row r="50" spans="1:21" x14ac:dyDescent="0.3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161</v>
      </c>
      <c r="N50" t="s">
        <v>162</v>
      </c>
      <c r="O50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0"/>
        <v>2504</v>
      </c>
      <c r="U50" s="2">
        <f t="shared" si="1"/>
        <v>4590</v>
      </c>
    </row>
    <row r="51" spans="1:21" x14ac:dyDescent="0.3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37</v>
      </c>
      <c r="J51" t="s">
        <v>38</v>
      </c>
      <c r="K51" t="s">
        <v>25</v>
      </c>
      <c r="L51" t="s">
        <v>26</v>
      </c>
      <c r="M51" s="5" t="s">
        <v>161</v>
      </c>
      <c r="N51" t="s">
        <v>162</v>
      </c>
      <c r="O51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3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89</v>
      </c>
      <c r="J52" t="s">
        <v>112</v>
      </c>
      <c r="K52" t="s">
        <v>25</v>
      </c>
      <c r="L52" t="s">
        <v>26</v>
      </c>
      <c r="M52" s="5" t="s">
        <v>161</v>
      </c>
      <c r="N52" t="s">
        <v>163</v>
      </c>
      <c r="O52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0"/>
        <v>1266</v>
      </c>
      <c r="U52" s="2">
        <f t="shared" si="1"/>
        <v>2320</v>
      </c>
    </row>
    <row r="53" spans="1:21" x14ac:dyDescent="0.3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47</v>
      </c>
      <c r="K53" t="s">
        <v>25</v>
      </c>
      <c r="L53" t="s">
        <v>26</v>
      </c>
      <c r="M53" s="5" t="s">
        <v>161</v>
      </c>
      <c r="N53" t="s">
        <v>163</v>
      </c>
      <c r="O53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0"/>
        <v>2532</v>
      </c>
      <c r="U53" s="2">
        <f t="shared" si="1"/>
        <v>4640</v>
      </c>
    </row>
    <row r="54" spans="1:21" x14ac:dyDescent="0.3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28</v>
      </c>
      <c r="I54" t="s">
        <v>37</v>
      </c>
      <c r="J54" t="s">
        <v>38</v>
      </c>
      <c r="K54" t="s">
        <v>25</v>
      </c>
      <c r="L54" t="s">
        <v>26</v>
      </c>
      <c r="M54" s="5" t="s">
        <v>164</v>
      </c>
      <c r="N54" t="s">
        <v>163</v>
      </c>
      <c r="O54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0"/>
        <v>420</v>
      </c>
      <c r="U54" s="2">
        <f t="shared" si="1"/>
        <v>769</v>
      </c>
    </row>
    <row r="55" spans="1:21" x14ac:dyDescent="0.3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 t="s">
        <v>52</v>
      </c>
      <c r="K55" t="s">
        <v>25</v>
      </c>
      <c r="L55" t="s">
        <v>26</v>
      </c>
      <c r="M55" s="5" t="s">
        <v>161</v>
      </c>
      <c r="N55" t="s">
        <v>163</v>
      </c>
      <c r="O5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0"/>
        <v>1266</v>
      </c>
      <c r="U55" s="2">
        <f t="shared" si="1"/>
        <v>2320</v>
      </c>
    </row>
    <row r="56" spans="1:21" x14ac:dyDescent="0.3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165</v>
      </c>
      <c r="N56" t="s">
        <v>163</v>
      </c>
      <c r="O56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0"/>
        <v>1232</v>
      </c>
      <c r="U56" s="2">
        <f t="shared" si="1"/>
        <v>2260</v>
      </c>
    </row>
    <row r="57" spans="1:21" x14ac:dyDescent="0.3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 t="s">
        <v>52</v>
      </c>
      <c r="K57" t="s">
        <v>25</v>
      </c>
      <c r="L57" t="s">
        <v>26</v>
      </c>
      <c r="M57" s="5" t="s">
        <v>161</v>
      </c>
      <c r="N57" t="s">
        <v>163</v>
      </c>
      <c r="O57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0"/>
        <v>5064</v>
      </c>
      <c r="U57" s="2">
        <f t="shared" si="1"/>
        <v>9280</v>
      </c>
    </row>
    <row r="58" spans="1:21" x14ac:dyDescent="0.3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89</v>
      </c>
      <c r="J58" t="s">
        <v>120</v>
      </c>
      <c r="K58" t="s">
        <v>25</v>
      </c>
      <c r="L58" t="s">
        <v>26</v>
      </c>
      <c r="M58" s="5" t="s">
        <v>161</v>
      </c>
      <c r="N58" t="s">
        <v>163</v>
      </c>
      <c r="O58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0"/>
        <v>3798</v>
      </c>
      <c r="U58" s="2">
        <f t="shared" si="1"/>
        <v>6960</v>
      </c>
    </row>
    <row r="59" spans="1:21" x14ac:dyDescent="0.3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164</v>
      </c>
      <c r="N59" t="s">
        <v>163</v>
      </c>
      <c r="O59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0"/>
        <v>1260</v>
      </c>
      <c r="U59" s="2">
        <f t="shared" si="1"/>
        <v>2307</v>
      </c>
    </row>
    <row r="60" spans="1:21" x14ac:dyDescent="0.3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161</v>
      </c>
      <c r="N60" t="s">
        <v>162</v>
      </c>
      <c r="O60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0"/>
        <v>3756</v>
      </c>
      <c r="U60" s="2">
        <f t="shared" si="1"/>
        <v>6885</v>
      </c>
    </row>
    <row r="61" spans="1:21" x14ac:dyDescent="0.3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28</v>
      </c>
      <c r="I61" t="s">
        <v>89</v>
      </c>
      <c r="J61" t="s">
        <v>90</v>
      </c>
      <c r="K61" t="s">
        <v>25</v>
      </c>
      <c r="L61" t="s">
        <v>26</v>
      </c>
      <c r="M61" s="5" t="s">
        <v>161</v>
      </c>
      <c r="N61" t="s">
        <v>162</v>
      </c>
      <c r="O61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0"/>
        <v>1252</v>
      </c>
      <c r="U61" s="2">
        <f t="shared" si="1"/>
        <v>2295</v>
      </c>
    </row>
    <row r="62" spans="1:21" x14ac:dyDescent="0.3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47</v>
      </c>
      <c r="K62" t="s">
        <v>25</v>
      </c>
      <c r="L62" t="s">
        <v>26</v>
      </c>
      <c r="M62" s="5" t="s">
        <v>161</v>
      </c>
      <c r="N62" t="s">
        <v>163</v>
      </c>
      <c r="O62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0"/>
        <v>1266</v>
      </c>
      <c r="U62" s="2">
        <f t="shared" si="1"/>
        <v>2320</v>
      </c>
    </row>
    <row r="63" spans="1:21" x14ac:dyDescent="0.3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28</v>
      </c>
      <c r="I63" t="s">
        <v>89</v>
      </c>
      <c r="J63" t="s">
        <v>126</v>
      </c>
      <c r="K63" t="s">
        <v>25</v>
      </c>
      <c r="L63" t="s">
        <v>26</v>
      </c>
      <c r="M63" s="5" t="s">
        <v>161</v>
      </c>
      <c r="N63" t="s">
        <v>163</v>
      </c>
      <c r="O63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0"/>
        <v>5064</v>
      </c>
      <c r="U63" s="2">
        <f t="shared" si="1"/>
        <v>9280</v>
      </c>
    </row>
    <row r="64" spans="1:21" x14ac:dyDescent="0.3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 t="s">
        <v>76</v>
      </c>
      <c r="K64" t="s">
        <v>25</v>
      </c>
      <c r="L64" t="s">
        <v>26</v>
      </c>
      <c r="M64" s="5" t="s">
        <v>165</v>
      </c>
      <c r="N64" t="s">
        <v>162</v>
      </c>
      <c r="O64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0"/>
        <v>1180</v>
      </c>
      <c r="U64" s="2">
        <f t="shared" si="1"/>
        <v>2160</v>
      </c>
    </row>
    <row r="65" spans="1:21" x14ac:dyDescent="0.3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28</v>
      </c>
      <c r="I65" t="s">
        <v>89</v>
      </c>
      <c r="J65" t="s">
        <v>90</v>
      </c>
      <c r="K65" t="s">
        <v>25</v>
      </c>
      <c r="L65" t="s">
        <v>26</v>
      </c>
      <c r="M65" s="5" t="s">
        <v>161</v>
      </c>
      <c r="N65" t="s">
        <v>162</v>
      </c>
      <c r="O6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0"/>
        <v>5008</v>
      </c>
      <c r="U65" s="2">
        <f t="shared" si="1"/>
        <v>9180</v>
      </c>
    </row>
    <row r="66" spans="1:21" x14ac:dyDescent="0.3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72</v>
      </c>
      <c r="K66" t="s">
        <v>25</v>
      </c>
      <c r="L66" t="s">
        <v>26</v>
      </c>
      <c r="M66" s="5" t="s">
        <v>166</v>
      </c>
      <c r="N66" t="s">
        <v>162</v>
      </c>
      <c r="O66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ref="T66:T89" si="2">P66*Q66</f>
        <v>7592</v>
      </c>
      <c r="U66" s="2">
        <f t="shared" ref="U66:U89" si="3">P66*R66</f>
        <v>13500</v>
      </c>
    </row>
    <row r="67" spans="1:21" x14ac:dyDescent="0.3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72</v>
      </c>
      <c r="K67" t="s">
        <v>25</v>
      </c>
      <c r="L67" t="s">
        <v>26</v>
      </c>
      <c r="M67" s="5" t="s">
        <v>161</v>
      </c>
      <c r="N67" t="s">
        <v>162</v>
      </c>
      <c r="O67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si="2"/>
        <v>5008</v>
      </c>
      <c r="U67" s="2">
        <f t="shared" si="3"/>
        <v>9180</v>
      </c>
    </row>
    <row r="68" spans="1:21" x14ac:dyDescent="0.3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161</v>
      </c>
      <c r="N68" t="s">
        <v>162</v>
      </c>
      <c r="O68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2"/>
        <v>5008</v>
      </c>
      <c r="U68" s="2">
        <f t="shared" si="3"/>
        <v>9180</v>
      </c>
    </row>
    <row r="69" spans="1:21" x14ac:dyDescent="0.3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54</v>
      </c>
      <c r="K69" t="s">
        <v>25</v>
      </c>
      <c r="L69" t="s">
        <v>26</v>
      </c>
      <c r="M69" s="5" t="s">
        <v>161</v>
      </c>
      <c r="N69" t="s">
        <v>162</v>
      </c>
      <c r="O69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2"/>
        <v>5008</v>
      </c>
      <c r="U69" s="2">
        <f t="shared" si="3"/>
        <v>9180</v>
      </c>
    </row>
    <row r="70" spans="1:21" x14ac:dyDescent="0.3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28</v>
      </c>
      <c r="I70" t="s">
        <v>37</v>
      </c>
      <c r="J70" t="s">
        <v>136</v>
      </c>
      <c r="K70" t="s">
        <v>25</v>
      </c>
      <c r="L70" t="s">
        <v>26</v>
      </c>
      <c r="M70" s="5" t="s">
        <v>165</v>
      </c>
      <c r="N70" t="s">
        <v>162</v>
      </c>
      <c r="O70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2"/>
        <v>590</v>
      </c>
      <c r="U70" s="2">
        <f t="shared" si="3"/>
        <v>1080</v>
      </c>
    </row>
    <row r="71" spans="1:21" x14ac:dyDescent="0.3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 t="s">
        <v>138</v>
      </c>
      <c r="K71" t="s">
        <v>25</v>
      </c>
      <c r="L71" t="s">
        <v>26</v>
      </c>
      <c r="M71" s="5" t="s">
        <v>161</v>
      </c>
      <c r="N71" t="s">
        <v>162</v>
      </c>
      <c r="O71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2"/>
        <v>2504</v>
      </c>
      <c r="U71" s="2">
        <f t="shared" si="3"/>
        <v>4590</v>
      </c>
    </row>
    <row r="72" spans="1:21" x14ac:dyDescent="0.3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47</v>
      </c>
      <c r="K72" t="s">
        <v>25</v>
      </c>
      <c r="L72" t="s">
        <v>26</v>
      </c>
      <c r="M72" s="5" t="s">
        <v>161</v>
      </c>
      <c r="N72" t="s">
        <v>163</v>
      </c>
      <c r="O72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2"/>
        <v>1266</v>
      </c>
      <c r="U72" s="2">
        <f t="shared" si="3"/>
        <v>2320</v>
      </c>
    </row>
    <row r="73" spans="1:21" x14ac:dyDescent="0.3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76</v>
      </c>
      <c r="K73" t="s">
        <v>25</v>
      </c>
      <c r="L73" t="s">
        <v>26</v>
      </c>
      <c r="M73" s="5" t="s">
        <v>166</v>
      </c>
      <c r="N73" t="s">
        <v>162</v>
      </c>
      <c r="O73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2"/>
        <v>7592</v>
      </c>
      <c r="U73" s="2">
        <f t="shared" si="3"/>
        <v>13500</v>
      </c>
    </row>
    <row r="74" spans="1:21" x14ac:dyDescent="0.3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37</v>
      </c>
      <c r="J74" t="s">
        <v>54</v>
      </c>
      <c r="K74" t="s">
        <v>25</v>
      </c>
      <c r="L74" t="s">
        <v>26</v>
      </c>
      <c r="M74" s="5" t="s">
        <v>161</v>
      </c>
      <c r="N74" t="s">
        <v>162</v>
      </c>
      <c r="O74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2"/>
        <v>5008</v>
      </c>
      <c r="U74" s="2">
        <f t="shared" si="3"/>
        <v>9180</v>
      </c>
    </row>
    <row r="75" spans="1:21" x14ac:dyDescent="0.3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28</v>
      </c>
      <c r="I75" t="s">
        <v>59</v>
      </c>
      <c r="J75" t="s">
        <v>60</v>
      </c>
      <c r="K75" t="s">
        <v>25</v>
      </c>
      <c r="L75" t="s">
        <v>26</v>
      </c>
      <c r="M75" s="5" t="s">
        <v>165</v>
      </c>
      <c r="N75" t="s">
        <v>162</v>
      </c>
      <c r="O7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2"/>
        <v>885</v>
      </c>
      <c r="U75" s="2">
        <f t="shared" si="3"/>
        <v>1620</v>
      </c>
    </row>
    <row r="76" spans="1:21" x14ac:dyDescent="0.3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54</v>
      </c>
      <c r="K76" t="s">
        <v>25</v>
      </c>
      <c r="L76" t="s">
        <v>26</v>
      </c>
      <c r="M76" s="5" t="s">
        <v>161</v>
      </c>
      <c r="N76" t="s">
        <v>163</v>
      </c>
      <c r="O76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2"/>
        <v>1266</v>
      </c>
      <c r="U76" s="2">
        <f t="shared" si="3"/>
        <v>2320</v>
      </c>
    </row>
    <row r="77" spans="1:21" x14ac:dyDescent="0.3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37</v>
      </c>
      <c r="J77" t="s">
        <v>76</v>
      </c>
      <c r="K77" t="s">
        <v>25</v>
      </c>
      <c r="L77" t="s">
        <v>26</v>
      </c>
      <c r="M77" s="5" t="s">
        <v>161</v>
      </c>
      <c r="N77" t="s">
        <v>163</v>
      </c>
      <c r="O77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2"/>
        <v>1266</v>
      </c>
      <c r="U77" s="2">
        <f t="shared" si="3"/>
        <v>2320</v>
      </c>
    </row>
    <row r="78" spans="1:21" x14ac:dyDescent="0.3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28</v>
      </c>
      <c r="I78" t="s">
        <v>89</v>
      </c>
      <c r="J78" t="s">
        <v>147</v>
      </c>
      <c r="K78" t="s">
        <v>25</v>
      </c>
      <c r="L78" t="s">
        <v>26</v>
      </c>
      <c r="M78" s="5" t="s">
        <v>161</v>
      </c>
      <c r="N78" t="s">
        <v>163</v>
      </c>
      <c r="O78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2"/>
        <v>3798</v>
      </c>
      <c r="U78" s="2">
        <f t="shared" si="3"/>
        <v>6960</v>
      </c>
    </row>
    <row r="79" spans="1:21" x14ac:dyDescent="0.3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164</v>
      </c>
      <c r="N79" t="s">
        <v>163</v>
      </c>
      <c r="O79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2"/>
        <v>840</v>
      </c>
      <c r="U79" s="2">
        <f t="shared" si="3"/>
        <v>1538</v>
      </c>
    </row>
    <row r="80" spans="1:21" x14ac:dyDescent="0.3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47</v>
      </c>
      <c r="K80" t="s">
        <v>25</v>
      </c>
      <c r="L80" t="s">
        <v>26</v>
      </c>
      <c r="M80" s="5" t="s">
        <v>161</v>
      </c>
      <c r="N80" t="s">
        <v>163</v>
      </c>
      <c r="O80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2"/>
        <v>3798</v>
      </c>
      <c r="U80" s="2">
        <f t="shared" si="3"/>
        <v>6960</v>
      </c>
    </row>
    <row r="81" spans="1:21" x14ac:dyDescent="0.3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161</v>
      </c>
      <c r="N81" t="s">
        <v>162</v>
      </c>
      <c r="O81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2"/>
        <v>3756</v>
      </c>
      <c r="U81" s="2">
        <f t="shared" si="3"/>
        <v>6885</v>
      </c>
    </row>
    <row r="82" spans="1:21" x14ac:dyDescent="0.3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165</v>
      </c>
      <c r="N82" t="s">
        <v>163</v>
      </c>
      <c r="O82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2"/>
        <v>308</v>
      </c>
      <c r="U82" s="2">
        <f t="shared" si="3"/>
        <v>565</v>
      </c>
    </row>
    <row r="83" spans="1:21" x14ac:dyDescent="0.3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28</v>
      </c>
      <c r="I83" t="s">
        <v>89</v>
      </c>
      <c r="J83" t="s">
        <v>90</v>
      </c>
      <c r="K83" t="s">
        <v>25</v>
      </c>
      <c r="L83" t="s">
        <v>26</v>
      </c>
      <c r="M83" s="5" t="s">
        <v>161</v>
      </c>
      <c r="N83" t="s">
        <v>162</v>
      </c>
      <c r="O83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2"/>
        <v>1252</v>
      </c>
      <c r="U83" s="2">
        <f t="shared" si="3"/>
        <v>2295</v>
      </c>
    </row>
    <row r="84" spans="1:21" x14ac:dyDescent="0.3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 t="s">
        <v>60</v>
      </c>
      <c r="K84" t="s">
        <v>25</v>
      </c>
      <c r="L84" t="s">
        <v>26</v>
      </c>
      <c r="M84" s="5" t="s">
        <v>161</v>
      </c>
      <c r="N84" t="s">
        <v>162</v>
      </c>
      <c r="O84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2"/>
        <v>1252</v>
      </c>
      <c r="U84" s="2">
        <f t="shared" si="3"/>
        <v>2295</v>
      </c>
    </row>
    <row r="85" spans="1:21" x14ac:dyDescent="0.3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51</v>
      </c>
      <c r="J85" t="s">
        <v>138</v>
      </c>
      <c r="K85" t="s">
        <v>25</v>
      </c>
      <c r="L85" t="s">
        <v>26</v>
      </c>
      <c r="M85" s="5" t="s">
        <v>161</v>
      </c>
      <c r="N85" t="s">
        <v>163</v>
      </c>
      <c r="O8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2"/>
        <v>1266</v>
      </c>
      <c r="U85" s="2">
        <f t="shared" si="3"/>
        <v>2320</v>
      </c>
    </row>
    <row r="86" spans="1:21" x14ac:dyDescent="0.3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72</v>
      </c>
      <c r="K86" t="s">
        <v>25</v>
      </c>
      <c r="L86" t="s">
        <v>26</v>
      </c>
      <c r="M86" s="5" t="s">
        <v>161</v>
      </c>
      <c r="N86" t="s">
        <v>163</v>
      </c>
      <c r="O86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2"/>
        <v>1266</v>
      </c>
      <c r="U86" s="2">
        <f t="shared" si="3"/>
        <v>2320</v>
      </c>
    </row>
    <row r="87" spans="1:21" x14ac:dyDescent="0.3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 t="s">
        <v>60</v>
      </c>
      <c r="K87" t="s">
        <v>25</v>
      </c>
      <c r="L87" t="s">
        <v>26</v>
      </c>
      <c r="M87" s="5" t="s">
        <v>161</v>
      </c>
      <c r="N87" t="s">
        <v>162</v>
      </c>
      <c r="O87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2"/>
        <v>1252</v>
      </c>
      <c r="U87" s="2">
        <f t="shared" si="3"/>
        <v>2295</v>
      </c>
    </row>
    <row r="88" spans="1:21" x14ac:dyDescent="0.3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165</v>
      </c>
      <c r="N88" t="s">
        <v>162</v>
      </c>
      <c r="O88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2"/>
        <v>295</v>
      </c>
      <c r="U88" s="2">
        <f t="shared" si="3"/>
        <v>540</v>
      </c>
    </row>
    <row r="89" spans="1:21" x14ac:dyDescent="0.3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37</v>
      </c>
      <c r="J89" t="s">
        <v>54</v>
      </c>
      <c r="K89" t="s">
        <v>25</v>
      </c>
      <c r="L89" t="s">
        <v>26</v>
      </c>
      <c r="M89" s="5" t="s">
        <v>161</v>
      </c>
      <c r="N89" t="s">
        <v>162</v>
      </c>
      <c r="O89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2"/>
        <v>5008</v>
      </c>
      <c r="U89" s="2">
        <f t="shared" si="3"/>
        <v>9180</v>
      </c>
    </row>
    <row r="90" spans="1:21" x14ac:dyDescent="0.3">
      <c r="G90"/>
    </row>
  </sheetData>
  <conditionalFormatting sqref="A1:A89 A91:A1048576">
    <cfRule type="duplicateValues" dxfId="1" priority="2"/>
  </conditionalFormatting>
  <conditionalFormatting sqref="A1:M89 P1:U89">
    <cfRule type="containsBlanks" dxfId="0" priority="1">
      <formula>LEN(TRIM(A1))=0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5FAC-2D38-45A8-9C5A-450BA51B3328}">
  <dimension ref="A1:W90"/>
  <sheetViews>
    <sheetView zoomScale="70" zoomScaleNormal="70" workbookViewId="0">
      <selection activeCell="K4" sqref="K4"/>
    </sheetView>
  </sheetViews>
  <sheetFormatPr baseColWidth="10" defaultColWidth="8.88671875" defaultRowHeight="14.4" x14ac:dyDescent="0.3"/>
  <cols>
    <col min="1" max="1" width="13.33203125" bestFit="1" customWidth="1"/>
    <col min="2" max="2" width="11.44140625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1" max="11" width="16.6640625" customWidth="1"/>
    <col min="12" max="12" width="14.88671875" bestFit="1" customWidth="1"/>
    <col min="13" max="13" width="25" bestFit="1" customWidth="1"/>
    <col min="15" max="15" width="9.21875" customWidth="1"/>
    <col min="16" max="16" width="10.44140625" bestFit="1" customWidth="1"/>
    <col min="17" max="17" width="11" bestFit="1" customWidth="1"/>
    <col min="18" max="18" width="11.109375" customWidth="1"/>
    <col min="19" max="19" width="12" customWidth="1"/>
    <col min="20" max="20" width="10.88671875" bestFit="1" customWidth="1"/>
    <col min="21" max="21" width="12.21875" customWidth="1"/>
  </cols>
  <sheetData>
    <row r="1" spans="1:23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170</v>
      </c>
      <c r="K1" s="4" t="s">
        <v>169</v>
      </c>
      <c r="L1" s="4" t="s">
        <v>9</v>
      </c>
      <c r="M1" s="4" t="s">
        <v>10</v>
      </c>
      <c r="N1" s="4" t="s">
        <v>11</v>
      </c>
      <c r="O1" s="6" t="s">
        <v>168</v>
      </c>
      <c r="P1" s="4" t="s">
        <v>167</v>
      </c>
      <c r="Q1" s="4" t="s">
        <v>160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</row>
    <row r="2" spans="1:23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>
        <f>LEN(I2)</f>
        <v>13</v>
      </c>
      <c r="K2" t="str">
        <f>TRIM(I2)</f>
        <v>United States</v>
      </c>
      <c r="L2" t="s">
        <v>24</v>
      </c>
      <c r="M2" t="s">
        <v>25</v>
      </c>
      <c r="N2" t="s">
        <v>26</v>
      </c>
      <c r="O2" s="5" t="s">
        <v>161</v>
      </c>
      <c r="P2" t="s">
        <v>162</v>
      </c>
      <c r="Q2">
        <v>46</v>
      </c>
      <c r="R2">
        <v>4</v>
      </c>
      <c r="S2" s="2">
        <v>1252</v>
      </c>
      <c r="T2" s="2">
        <v>2295</v>
      </c>
      <c r="U2" s="2">
        <v>4172</v>
      </c>
      <c r="V2" s="2">
        <f t="shared" ref="V2:V65" si="0">R2*S2</f>
        <v>5008</v>
      </c>
      <c r="W2" s="2">
        <f t="shared" ref="W2:W65" si="1">R2*T2</f>
        <v>9180</v>
      </c>
    </row>
    <row r="3" spans="1:23" x14ac:dyDescent="0.3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>
        <f t="shared" ref="J3:J66" si="2">LEN(I3)</f>
        <v>14</v>
      </c>
      <c r="K3" t="str">
        <f t="shared" ref="K3:K66" si="3">TRIM(I3)</f>
        <v>United Kingdom</v>
      </c>
      <c r="L3" t="s">
        <v>30</v>
      </c>
      <c r="M3" t="s">
        <v>25</v>
      </c>
      <c r="N3" t="s">
        <v>26</v>
      </c>
      <c r="O3" s="5" t="s">
        <v>161</v>
      </c>
      <c r="P3" t="s">
        <v>163</v>
      </c>
      <c r="Q3">
        <v>42</v>
      </c>
      <c r="R3">
        <v>1</v>
      </c>
      <c r="S3" s="2">
        <v>1266</v>
      </c>
      <c r="T3" s="2">
        <v>2320</v>
      </c>
      <c r="U3" s="2">
        <v>1054</v>
      </c>
      <c r="V3" s="2">
        <f t="shared" si="0"/>
        <v>1266</v>
      </c>
      <c r="W3" s="2">
        <f t="shared" si="1"/>
        <v>2320</v>
      </c>
    </row>
    <row r="4" spans="1:23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>
        <f t="shared" si="2"/>
        <v>14</v>
      </c>
      <c r="K4" t="str">
        <f t="shared" si="3"/>
        <v>United States</v>
      </c>
      <c r="L4" t="s">
        <v>24</v>
      </c>
      <c r="M4" t="s">
        <v>25</v>
      </c>
      <c r="N4" t="s">
        <v>26</v>
      </c>
      <c r="O4" s="5" t="s">
        <v>164</v>
      </c>
      <c r="P4" t="s">
        <v>163</v>
      </c>
      <c r="Q4">
        <v>46</v>
      </c>
      <c r="R4">
        <v>2</v>
      </c>
      <c r="S4" s="2">
        <v>420</v>
      </c>
      <c r="T4" s="2">
        <v>769</v>
      </c>
      <c r="U4" s="2">
        <v>698</v>
      </c>
      <c r="V4" s="2">
        <f t="shared" si="0"/>
        <v>840</v>
      </c>
      <c r="W4" s="2">
        <f t="shared" si="1"/>
        <v>1538</v>
      </c>
    </row>
    <row r="5" spans="1:23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>
        <f t="shared" si="2"/>
        <v>9</v>
      </c>
      <c r="K5" t="str">
        <f t="shared" si="3"/>
        <v>Australia</v>
      </c>
      <c r="L5" t="s">
        <v>38</v>
      </c>
      <c r="M5" t="s">
        <v>25</v>
      </c>
      <c r="N5" t="s">
        <v>26</v>
      </c>
      <c r="O5" s="5" t="s">
        <v>164</v>
      </c>
      <c r="P5" t="s">
        <v>163</v>
      </c>
      <c r="Q5">
        <v>42</v>
      </c>
      <c r="R5">
        <v>1</v>
      </c>
      <c r="S5" s="2">
        <v>420</v>
      </c>
      <c r="T5" s="2">
        <v>769</v>
      </c>
      <c r="U5" s="2">
        <v>349</v>
      </c>
      <c r="V5" s="2">
        <f t="shared" si="0"/>
        <v>420</v>
      </c>
      <c r="W5" s="2">
        <f t="shared" si="1"/>
        <v>769</v>
      </c>
    </row>
    <row r="6" spans="1:23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>
        <f t="shared" si="2"/>
        <v>14</v>
      </c>
      <c r="K6" t="str">
        <f t="shared" si="3"/>
        <v>United States</v>
      </c>
      <c r="L6" t="s">
        <v>24</v>
      </c>
      <c r="M6" t="s">
        <v>25</v>
      </c>
      <c r="N6" t="s">
        <v>26</v>
      </c>
      <c r="O6" s="5" t="s">
        <v>161</v>
      </c>
      <c r="P6" t="s">
        <v>162</v>
      </c>
      <c r="Q6">
        <v>46</v>
      </c>
      <c r="R6">
        <v>2</v>
      </c>
      <c r="S6" s="2">
        <v>0</v>
      </c>
      <c r="T6" s="2">
        <v>2295</v>
      </c>
      <c r="U6" s="2">
        <v>2086</v>
      </c>
      <c r="V6" s="2">
        <f t="shared" si="0"/>
        <v>0</v>
      </c>
      <c r="W6" s="2">
        <f t="shared" si="1"/>
        <v>4590</v>
      </c>
    </row>
    <row r="7" spans="1:23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>
        <f t="shared" si="2"/>
        <v>14</v>
      </c>
      <c r="K7" t="str">
        <f t="shared" si="3"/>
        <v>United Kingdom</v>
      </c>
      <c r="L7" t="s">
        <v>30</v>
      </c>
      <c r="M7" t="s">
        <v>25</v>
      </c>
      <c r="N7" t="s">
        <v>26</v>
      </c>
      <c r="O7" s="5" t="s">
        <v>161</v>
      </c>
      <c r="P7" t="s">
        <v>162</v>
      </c>
      <c r="Q7">
        <v>38</v>
      </c>
      <c r="R7">
        <v>1</v>
      </c>
      <c r="S7" s="2">
        <v>1252</v>
      </c>
      <c r="T7" s="2">
        <v>2295</v>
      </c>
      <c r="U7" s="2">
        <v>1043</v>
      </c>
      <c r="V7" s="2">
        <f t="shared" si="0"/>
        <v>1252</v>
      </c>
      <c r="W7" s="2">
        <f t="shared" si="1"/>
        <v>2295</v>
      </c>
    </row>
    <row r="8" spans="1:23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>
        <f t="shared" si="2"/>
        <v>14</v>
      </c>
      <c r="K8" t="str">
        <f t="shared" si="3"/>
        <v>United States</v>
      </c>
      <c r="L8" t="s">
        <v>47</v>
      </c>
      <c r="M8" t="s">
        <v>25</v>
      </c>
      <c r="N8" t="s">
        <v>26</v>
      </c>
      <c r="O8" s="5" t="s">
        <v>161</v>
      </c>
      <c r="P8" t="s">
        <v>162</v>
      </c>
      <c r="Q8">
        <v>46</v>
      </c>
      <c r="R8">
        <v>1</v>
      </c>
      <c r="S8" s="2">
        <v>1252</v>
      </c>
      <c r="T8" s="2">
        <v>2295</v>
      </c>
      <c r="U8" s="2">
        <v>1043</v>
      </c>
      <c r="V8" s="2">
        <f t="shared" si="0"/>
        <v>1252</v>
      </c>
      <c r="W8" s="2">
        <f t="shared" si="1"/>
        <v>2295</v>
      </c>
    </row>
    <row r="9" spans="1:23" s="9" customFormat="1" x14ac:dyDescent="0.3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>
        <f t="shared" si="2"/>
        <v>9</v>
      </c>
      <c r="K9" t="str">
        <f t="shared" si="3"/>
        <v>Australia</v>
      </c>
      <c r="L9" t="s">
        <v>38</v>
      </c>
      <c r="M9" t="s">
        <v>25</v>
      </c>
      <c r="N9" t="s">
        <v>26</v>
      </c>
      <c r="O9" s="5" t="s">
        <v>164</v>
      </c>
      <c r="P9" s="9" t="s">
        <v>163</v>
      </c>
      <c r="Q9" s="9">
        <v>42</v>
      </c>
      <c r="R9">
        <v>4</v>
      </c>
      <c r="S9" s="2">
        <v>420</v>
      </c>
      <c r="T9" s="2">
        <v>0</v>
      </c>
      <c r="U9" s="2">
        <v>1396</v>
      </c>
      <c r="V9" s="2">
        <f t="shared" si="0"/>
        <v>1680</v>
      </c>
      <c r="W9" s="2">
        <f t="shared" si="1"/>
        <v>0</v>
      </c>
    </row>
    <row r="10" spans="1:23" x14ac:dyDescent="0.3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>
        <f t="shared" si="2"/>
        <v>13</v>
      </c>
      <c r="K10" t="str">
        <f t="shared" si="3"/>
        <v>United States</v>
      </c>
      <c r="L10" t="s">
        <v>24</v>
      </c>
      <c r="M10" t="s">
        <v>25</v>
      </c>
      <c r="N10" t="s">
        <v>26</v>
      </c>
      <c r="O10" s="5" t="s">
        <v>161</v>
      </c>
      <c r="P10" t="s">
        <v>162</v>
      </c>
      <c r="Q10">
        <v>46</v>
      </c>
      <c r="R10">
        <v>4</v>
      </c>
      <c r="S10" s="2">
        <v>1252</v>
      </c>
      <c r="T10" s="2">
        <v>2295</v>
      </c>
      <c r="U10" s="2">
        <v>4172</v>
      </c>
      <c r="V10" s="2">
        <f t="shared" si="0"/>
        <v>5008</v>
      </c>
      <c r="W10" s="2">
        <f t="shared" si="1"/>
        <v>9180</v>
      </c>
    </row>
    <row r="11" spans="1:23" x14ac:dyDescent="0.3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51</v>
      </c>
      <c r="J11">
        <f t="shared" si="2"/>
        <v>7</v>
      </c>
      <c r="K11" t="str">
        <f t="shared" si="3"/>
        <v>Germany</v>
      </c>
      <c r="L11" t="s">
        <v>52</v>
      </c>
      <c r="M11" t="s">
        <v>25</v>
      </c>
      <c r="N11" t="s">
        <v>26</v>
      </c>
      <c r="O11" s="5" t="s">
        <v>161</v>
      </c>
      <c r="P11" t="s">
        <v>162</v>
      </c>
      <c r="Q11">
        <v>38</v>
      </c>
      <c r="R11">
        <v>4</v>
      </c>
      <c r="S11" s="2">
        <v>1252</v>
      </c>
      <c r="T11" s="2">
        <v>2295</v>
      </c>
      <c r="U11" s="2">
        <v>4172</v>
      </c>
      <c r="V11" s="2">
        <f t="shared" si="0"/>
        <v>5008</v>
      </c>
      <c r="W11" s="2">
        <f t="shared" si="1"/>
        <v>9180</v>
      </c>
    </row>
    <row r="12" spans="1:23" x14ac:dyDescent="0.3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>
        <f t="shared" si="2"/>
        <v>9</v>
      </c>
      <c r="K12" t="str">
        <f t="shared" si="3"/>
        <v>Australia</v>
      </c>
      <c r="L12" t="s">
        <v>54</v>
      </c>
      <c r="M12" t="s">
        <v>25</v>
      </c>
      <c r="N12" t="s">
        <v>26</v>
      </c>
      <c r="O12" s="5" t="s">
        <v>161</v>
      </c>
      <c r="P12" t="s">
        <v>163</v>
      </c>
      <c r="Q12">
        <v>38</v>
      </c>
      <c r="R12">
        <v>1</v>
      </c>
      <c r="S12" s="2">
        <v>1266</v>
      </c>
      <c r="T12" s="2">
        <v>2320</v>
      </c>
      <c r="U12" s="2">
        <v>1054</v>
      </c>
      <c r="V12" s="2">
        <f t="shared" si="0"/>
        <v>1266</v>
      </c>
      <c r="W12" s="2">
        <f t="shared" si="1"/>
        <v>2320</v>
      </c>
    </row>
    <row r="13" spans="1:23" x14ac:dyDescent="0.3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>
        <f t="shared" si="2"/>
        <v>13</v>
      </c>
      <c r="K13" t="str">
        <f t="shared" si="3"/>
        <v>United States</v>
      </c>
      <c r="L13" t="s">
        <v>24</v>
      </c>
      <c r="M13" t="s">
        <v>25</v>
      </c>
      <c r="N13" t="s">
        <v>26</v>
      </c>
      <c r="O13" s="5" t="s">
        <v>161</v>
      </c>
      <c r="P13" t="s">
        <v>162</v>
      </c>
      <c r="Q13">
        <v>46</v>
      </c>
      <c r="R13">
        <v>1</v>
      </c>
      <c r="S13" s="2">
        <v>1252</v>
      </c>
      <c r="T13" s="2">
        <v>2295</v>
      </c>
      <c r="U13" s="2">
        <v>1043</v>
      </c>
      <c r="V13" s="2">
        <f t="shared" si="0"/>
        <v>1252</v>
      </c>
      <c r="W13" s="2">
        <f t="shared" si="1"/>
        <v>2295</v>
      </c>
    </row>
    <row r="14" spans="1:23" x14ac:dyDescent="0.3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43</v>
      </c>
      <c r="H14" t="s">
        <v>28</v>
      </c>
      <c r="I14" t="s">
        <v>29</v>
      </c>
      <c r="J14">
        <f t="shared" si="2"/>
        <v>14</v>
      </c>
      <c r="K14" t="str">
        <f t="shared" si="3"/>
        <v>United Kingdom</v>
      </c>
      <c r="L14" t="s">
        <v>30</v>
      </c>
      <c r="M14" t="s">
        <v>25</v>
      </c>
      <c r="N14" t="s">
        <v>26</v>
      </c>
      <c r="O14" s="5" t="s">
        <v>164</v>
      </c>
      <c r="P14" t="s">
        <v>163</v>
      </c>
      <c r="Q14">
        <v>46</v>
      </c>
      <c r="R14">
        <v>3</v>
      </c>
      <c r="S14" s="2">
        <v>420</v>
      </c>
      <c r="T14" s="2">
        <v>769</v>
      </c>
      <c r="U14" s="2">
        <v>1047</v>
      </c>
      <c r="V14" s="2">
        <f t="shared" si="0"/>
        <v>1260</v>
      </c>
      <c r="W14" s="2">
        <f t="shared" si="1"/>
        <v>2307</v>
      </c>
    </row>
    <row r="15" spans="1:23" x14ac:dyDescent="0.3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28</v>
      </c>
      <c r="I15" t="s">
        <v>59</v>
      </c>
      <c r="J15">
        <f t="shared" si="2"/>
        <v>6</v>
      </c>
      <c r="K15" t="str">
        <f t="shared" si="3"/>
        <v>Canada</v>
      </c>
      <c r="L15" t="s">
        <v>60</v>
      </c>
      <c r="M15" t="s">
        <v>25</v>
      </c>
      <c r="N15" t="s">
        <v>26</v>
      </c>
      <c r="O15" s="5" t="s">
        <v>161</v>
      </c>
      <c r="P15" t="s">
        <v>162</v>
      </c>
      <c r="Q15">
        <v>46</v>
      </c>
      <c r="R15">
        <v>1</v>
      </c>
      <c r="S15" s="2">
        <v>1252</v>
      </c>
      <c r="T15" s="2">
        <v>2295</v>
      </c>
      <c r="U15" s="2">
        <v>1043</v>
      </c>
      <c r="V15" s="2">
        <f t="shared" si="0"/>
        <v>1252</v>
      </c>
      <c r="W15" s="2">
        <f t="shared" si="1"/>
        <v>2295</v>
      </c>
    </row>
    <row r="16" spans="1:23" x14ac:dyDescent="0.3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43</v>
      </c>
      <c r="H16" t="s">
        <v>28</v>
      </c>
      <c r="I16" t="s">
        <v>37</v>
      </c>
      <c r="J16">
        <f t="shared" si="2"/>
        <v>9</v>
      </c>
      <c r="K16" t="str">
        <f t="shared" si="3"/>
        <v>Australia</v>
      </c>
      <c r="L16" t="s">
        <v>38</v>
      </c>
      <c r="M16" t="s">
        <v>25</v>
      </c>
      <c r="N16" t="s">
        <v>26</v>
      </c>
      <c r="O16" s="5" t="s">
        <v>161</v>
      </c>
      <c r="P16" t="s">
        <v>162</v>
      </c>
      <c r="Q16">
        <v>42</v>
      </c>
      <c r="R16">
        <v>1</v>
      </c>
      <c r="S16" s="2">
        <v>1252</v>
      </c>
      <c r="T16" s="2">
        <v>2295</v>
      </c>
      <c r="U16" s="2">
        <v>1043</v>
      </c>
      <c r="V16" s="2">
        <f t="shared" si="0"/>
        <v>1252</v>
      </c>
      <c r="W16" s="2">
        <f t="shared" si="1"/>
        <v>2295</v>
      </c>
    </row>
    <row r="17" spans="1:23" x14ac:dyDescent="0.3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>
        <f t="shared" si="2"/>
        <v>14</v>
      </c>
      <c r="K17" t="str">
        <f t="shared" si="3"/>
        <v>United Kingdom</v>
      </c>
      <c r="L17" t="s">
        <v>30</v>
      </c>
      <c r="M17" t="s">
        <v>25</v>
      </c>
      <c r="N17" t="s">
        <v>26</v>
      </c>
      <c r="O17" s="5" t="s">
        <v>161</v>
      </c>
      <c r="P17" t="s">
        <v>163</v>
      </c>
      <c r="Q17">
        <v>38</v>
      </c>
      <c r="R17">
        <v>1</v>
      </c>
      <c r="S17" s="2">
        <v>1266</v>
      </c>
      <c r="T17" s="2">
        <v>2320</v>
      </c>
      <c r="U17" s="2">
        <v>1054</v>
      </c>
      <c r="V17" s="2">
        <f t="shared" si="0"/>
        <v>1266</v>
      </c>
      <c r="W17" s="2">
        <f t="shared" si="1"/>
        <v>2320</v>
      </c>
    </row>
    <row r="18" spans="1:23" x14ac:dyDescent="0.3">
      <c r="A18" s="3" t="s">
        <v>64</v>
      </c>
      <c r="B18" s="1">
        <v>44537</v>
      </c>
      <c r="C18">
        <v>7</v>
      </c>
      <c r="D18" t="s">
        <v>65</v>
      </c>
      <c r="E18">
        <v>2021</v>
      </c>
      <c r="F18">
        <v>30</v>
      </c>
      <c r="G18" s="8" t="s">
        <v>36</v>
      </c>
      <c r="H18" t="s">
        <v>28</v>
      </c>
      <c r="I18" t="s">
        <v>23</v>
      </c>
      <c r="J18">
        <f t="shared" si="2"/>
        <v>13</v>
      </c>
      <c r="K18" t="str">
        <f t="shared" si="3"/>
        <v>United States</v>
      </c>
      <c r="L18" t="s">
        <v>24</v>
      </c>
      <c r="M18" t="s">
        <v>25</v>
      </c>
      <c r="N18" t="s">
        <v>26</v>
      </c>
      <c r="O18" s="5" t="s">
        <v>164</v>
      </c>
      <c r="P18" t="s">
        <v>163</v>
      </c>
      <c r="Q18">
        <v>38</v>
      </c>
      <c r="R18">
        <v>4</v>
      </c>
      <c r="S18" s="2">
        <v>420</v>
      </c>
      <c r="T18" s="2">
        <v>769</v>
      </c>
      <c r="U18" s="2">
        <v>1396</v>
      </c>
      <c r="V18" s="2">
        <f t="shared" si="0"/>
        <v>1680</v>
      </c>
      <c r="W18" s="2">
        <f t="shared" si="1"/>
        <v>3076</v>
      </c>
    </row>
    <row r="19" spans="1:23" x14ac:dyDescent="0.3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>
        <f t="shared" si="2"/>
        <v>13</v>
      </c>
      <c r="K19" t="str">
        <f t="shared" si="3"/>
        <v>United States</v>
      </c>
      <c r="L19" t="s">
        <v>24</v>
      </c>
      <c r="M19" t="s">
        <v>25</v>
      </c>
      <c r="N19" t="s">
        <v>26</v>
      </c>
      <c r="O19" s="5" t="s">
        <v>161</v>
      </c>
      <c r="P19" t="s">
        <v>163</v>
      </c>
      <c r="Q19">
        <v>42</v>
      </c>
      <c r="R19">
        <v>2</v>
      </c>
      <c r="S19" s="2">
        <v>1266</v>
      </c>
      <c r="T19" s="2">
        <v>2320</v>
      </c>
      <c r="U19" s="2">
        <v>2108</v>
      </c>
      <c r="V19" s="2">
        <f t="shared" si="0"/>
        <v>2532</v>
      </c>
      <c r="W19" s="2">
        <f t="shared" si="1"/>
        <v>4640</v>
      </c>
    </row>
    <row r="20" spans="1:23" x14ac:dyDescent="0.3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43</v>
      </c>
      <c r="H20" t="s">
        <v>22</v>
      </c>
      <c r="I20" t="s">
        <v>37</v>
      </c>
      <c r="J20">
        <f t="shared" si="2"/>
        <v>9</v>
      </c>
      <c r="K20" t="str">
        <f t="shared" si="3"/>
        <v>Australia</v>
      </c>
      <c r="L20" t="s">
        <v>38</v>
      </c>
      <c r="M20" t="s">
        <v>25</v>
      </c>
      <c r="N20" t="s">
        <v>26</v>
      </c>
      <c r="O20" s="5" t="s">
        <v>165</v>
      </c>
      <c r="P20" t="s">
        <v>163</v>
      </c>
      <c r="Q20">
        <v>42</v>
      </c>
      <c r="R20">
        <v>4</v>
      </c>
      <c r="S20" s="2">
        <v>308</v>
      </c>
      <c r="T20" s="2">
        <v>565</v>
      </c>
      <c r="U20" s="2">
        <v>1028</v>
      </c>
      <c r="V20" s="2">
        <f t="shared" si="0"/>
        <v>1232</v>
      </c>
      <c r="W20" s="2">
        <f t="shared" si="1"/>
        <v>2260</v>
      </c>
    </row>
    <row r="21" spans="1:23" x14ac:dyDescent="0.3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59</v>
      </c>
      <c r="J21">
        <f t="shared" si="2"/>
        <v>6</v>
      </c>
      <c r="K21" t="str">
        <f t="shared" si="3"/>
        <v>Canada</v>
      </c>
      <c r="L21" t="s">
        <v>60</v>
      </c>
      <c r="M21" t="s">
        <v>25</v>
      </c>
      <c r="N21" t="s">
        <v>26</v>
      </c>
      <c r="O21" s="5" t="s">
        <v>161</v>
      </c>
      <c r="P21" t="s">
        <v>163</v>
      </c>
      <c r="Q21">
        <v>38</v>
      </c>
      <c r="R21">
        <v>4</v>
      </c>
      <c r="S21" s="2">
        <v>1266</v>
      </c>
      <c r="T21" s="2">
        <v>2320</v>
      </c>
      <c r="U21" s="2">
        <v>4216</v>
      </c>
      <c r="V21" s="2">
        <f t="shared" si="0"/>
        <v>5064</v>
      </c>
      <c r="W21" s="2">
        <f t="shared" si="1"/>
        <v>9280</v>
      </c>
    </row>
    <row r="22" spans="1:23" x14ac:dyDescent="0.3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>
        <f t="shared" si="2"/>
        <v>13</v>
      </c>
      <c r="K22" t="str">
        <f t="shared" si="3"/>
        <v>United States</v>
      </c>
      <c r="L22" t="s">
        <v>72</v>
      </c>
      <c r="M22" t="s">
        <v>25</v>
      </c>
      <c r="N22" t="s">
        <v>26</v>
      </c>
      <c r="O22" s="5" t="s">
        <v>161</v>
      </c>
      <c r="P22" t="s">
        <v>162</v>
      </c>
      <c r="Q22">
        <v>42</v>
      </c>
      <c r="R22">
        <v>2</v>
      </c>
      <c r="S22" s="2">
        <v>1252</v>
      </c>
      <c r="T22" s="2">
        <v>2295</v>
      </c>
      <c r="U22" s="2">
        <v>2086</v>
      </c>
      <c r="V22" s="2">
        <f t="shared" si="0"/>
        <v>2504</v>
      </c>
      <c r="W22" s="2">
        <f t="shared" si="1"/>
        <v>4590</v>
      </c>
    </row>
    <row r="23" spans="1:23" x14ac:dyDescent="0.3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>
        <f t="shared" si="2"/>
        <v>13</v>
      </c>
      <c r="K23" t="str">
        <f t="shared" si="3"/>
        <v>United States</v>
      </c>
      <c r="L23" t="s">
        <v>24</v>
      </c>
      <c r="M23" t="s">
        <v>25</v>
      </c>
      <c r="N23" t="s">
        <v>26</v>
      </c>
      <c r="O23" s="5" t="s">
        <v>165</v>
      </c>
      <c r="P23" t="s">
        <v>162</v>
      </c>
      <c r="Q23">
        <v>42</v>
      </c>
      <c r="R23">
        <v>4</v>
      </c>
      <c r="S23" s="2">
        <v>295</v>
      </c>
      <c r="T23" s="2">
        <v>540</v>
      </c>
      <c r="U23" s="2">
        <v>245</v>
      </c>
      <c r="V23" s="2">
        <f t="shared" si="0"/>
        <v>1180</v>
      </c>
      <c r="W23" s="2">
        <f t="shared" si="1"/>
        <v>2160</v>
      </c>
    </row>
    <row r="24" spans="1:23" x14ac:dyDescent="0.3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>
        <f t="shared" si="2"/>
        <v>9</v>
      </c>
      <c r="K24" t="str">
        <f t="shared" si="3"/>
        <v>Australia</v>
      </c>
      <c r="L24" t="s">
        <v>76</v>
      </c>
      <c r="M24" t="s">
        <v>25</v>
      </c>
      <c r="N24" t="s">
        <v>26</v>
      </c>
      <c r="O24" s="5" t="s">
        <v>166</v>
      </c>
      <c r="P24" t="s">
        <v>162</v>
      </c>
      <c r="Q24">
        <v>38</v>
      </c>
      <c r="R24">
        <v>2</v>
      </c>
      <c r="S24" s="2">
        <v>1898</v>
      </c>
      <c r="T24" s="2">
        <v>3375</v>
      </c>
      <c r="U24" s="2">
        <v>2954</v>
      </c>
      <c r="V24" s="2">
        <f t="shared" si="0"/>
        <v>3796</v>
      </c>
      <c r="W24" s="2">
        <f t="shared" si="1"/>
        <v>6750</v>
      </c>
    </row>
    <row r="25" spans="1:23" x14ac:dyDescent="0.3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51</v>
      </c>
      <c r="J25">
        <f t="shared" si="2"/>
        <v>7</v>
      </c>
      <c r="K25" t="str">
        <f t="shared" si="3"/>
        <v>Germany</v>
      </c>
      <c r="L25" t="s">
        <v>79</v>
      </c>
      <c r="M25" t="s">
        <v>25</v>
      </c>
      <c r="N25" t="s">
        <v>26</v>
      </c>
      <c r="O25" s="5" t="s">
        <v>161</v>
      </c>
      <c r="P25" t="s">
        <v>163</v>
      </c>
      <c r="Q25">
        <v>42</v>
      </c>
      <c r="R25">
        <v>1</v>
      </c>
      <c r="S25" s="2">
        <v>1266</v>
      </c>
      <c r="T25" s="2">
        <v>2320</v>
      </c>
      <c r="U25" s="2">
        <v>1054</v>
      </c>
      <c r="V25" s="2">
        <f t="shared" si="0"/>
        <v>1266</v>
      </c>
      <c r="W25" s="2">
        <f t="shared" si="1"/>
        <v>2320</v>
      </c>
    </row>
    <row r="26" spans="1:23" x14ac:dyDescent="0.3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>
        <f t="shared" si="2"/>
        <v>13</v>
      </c>
      <c r="K26" t="str">
        <f t="shared" si="3"/>
        <v>United States</v>
      </c>
      <c r="L26" t="s">
        <v>24</v>
      </c>
      <c r="M26" t="s">
        <v>25</v>
      </c>
      <c r="N26" t="s">
        <v>26</v>
      </c>
      <c r="O26" s="5" t="s">
        <v>161</v>
      </c>
      <c r="P26" t="s">
        <v>162</v>
      </c>
      <c r="Q26">
        <v>42</v>
      </c>
      <c r="R26">
        <v>2</v>
      </c>
      <c r="S26" s="2">
        <v>1252</v>
      </c>
      <c r="T26" s="2">
        <v>2295</v>
      </c>
      <c r="U26" s="2">
        <v>2086</v>
      </c>
      <c r="V26" s="2">
        <f t="shared" si="0"/>
        <v>2504</v>
      </c>
      <c r="W26" s="2">
        <f t="shared" si="1"/>
        <v>4590</v>
      </c>
    </row>
    <row r="27" spans="1:23" x14ac:dyDescent="0.3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37</v>
      </c>
      <c r="J27">
        <f t="shared" si="2"/>
        <v>9</v>
      </c>
      <c r="K27" t="str">
        <f t="shared" si="3"/>
        <v>Australia</v>
      </c>
      <c r="L27" t="s">
        <v>38</v>
      </c>
      <c r="M27" t="s">
        <v>25</v>
      </c>
      <c r="N27" t="s">
        <v>26</v>
      </c>
      <c r="O27" s="5" t="s">
        <v>161</v>
      </c>
      <c r="P27" t="s">
        <v>162</v>
      </c>
      <c r="Q27">
        <v>42</v>
      </c>
      <c r="R27">
        <v>2</v>
      </c>
      <c r="S27" s="2">
        <v>1252</v>
      </c>
      <c r="T27" s="2">
        <v>2295</v>
      </c>
      <c r="U27" s="2">
        <v>2086</v>
      </c>
      <c r="V27" s="2">
        <f t="shared" si="0"/>
        <v>2504</v>
      </c>
      <c r="W27" s="2">
        <f t="shared" si="1"/>
        <v>4590</v>
      </c>
    </row>
    <row r="28" spans="1:23" x14ac:dyDescent="0.3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28</v>
      </c>
      <c r="I28" t="s">
        <v>29</v>
      </c>
      <c r="J28">
        <f t="shared" si="2"/>
        <v>14</v>
      </c>
      <c r="K28" t="str">
        <f t="shared" si="3"/>
        <v>United Kingdom</v>
      </c>
      <c r="L28" t="s">
        <v>30</v>
      </c>
      <c r="M28" t="s">
        <v>25</v>
      </c>
      <c r="N28" t="s">
        <v>26</v>
      </c>
      <c r="O28" s="5" t="s">
        <v>161</v>
      </c>
      <c r="P28" t="s">
        <v>162</v>
      </c>
      <c r="Q28">
        <v>38</v>
      </c>
      <c r="R28">
        <v>1</v>
      </c>
      <c r="S28" s="2">
        <v>1252</v>
      </c>
      <c r="T28" s="2">
        <v>2295</v>
      </c>
      <c r="U28" s="2">
        <v>1043</v>
      </c>
      <c r="V28" s="2">
        <f t="shared" si="0"/>
        <v>1252</v>
      </c>
      <c r="W28" s="2">
        <f t="shared" si="1"/>
        <v>2295</v>
      </c>
    </row>
    <row r="29" spans="1:23" x14ac:dyDescent="0.3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28</v>
      </c>
      <c r="I29" t="s">
        <v>23</v>
      </c>
      <c r="J29">
        <f t="shared" si="2"/>
        <v>13</v>
      </c>
      <c r="K29" t="str">
        <f t="shared" si="3"/>
        <v>United States</v>
      </c>
      <c r="L29" t="s">
        <v>24</v>
      </c>
      <c r="M29" t="s">
        <v>25</v>
      </c>
      <c r="N29" t="s">
        <v>26</v>
      </c>
      <c r="O29" s="5" t="s">
        <v>165</v>
      </c>
      <c r="P29" t="s">
        <v>162</v>
      </c>
      <c r="Q29">
        <v>40</v>
      </c>
      <c r="R29">
        <v>1</v>
      </c>
      <c r="S29" s="2">
        <v>295</v>
      </c>
      <c r="T29" s="2">
        <v>540</v>
      </c>
      <c r="U29" s="2">
        <v>245</v>
      </c>
      <c r="V29" s="2">
        <f t="shared" si="0"/>
        <v>295</v>
      </c>
      <c r="W29" s="2">
        <f t="shared" si="1"/>
        <v>540</v>
      </c>
    </row>
    <row r="30" spans="1:23" x14ac:dyDescent="0.3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>
        <f t="shared" si="2"/>
        <v>13</v>
      </c>
      <c r="K30" t="str">
        <f t="shared" si="3"/>
        <v>United States</v>
      </c>
      <c r="L30" t="s">
        <v>47</v>
      </c>
      <c r="M30" t="s">
        <v>25</v>
      </c>
      <c r="N30" t="s">
        <v>26</v>
      </c>
      <c r="O30" s="5" t="s">
        <v>166</v>
      </c>
      <c r="P30" t="s">
        <v>163</v>
      </c>
      <c r="Q30">
        <v>44</v>
      </c>
      <c r="R30">
        <v>1</v>
      </c>
      <c r="S30" s="2">
        <v>1912</v>
      </c>
      <c r="T30" s="2">
        <v>3400</v>
      </c>
      <c r="U30" s="2">
        <v>1488</v>
      </c>
      <c r="V30" s="2">
        <f t="shared" si="0"/>
        <v>1912</v>
      </c>
      <c r="W30" s="2">
        <f t="shared" si="1"/>
        <v>3400</v>
      </c>
    </row>
    <row r="31" spans="1:23" x14ac:dyDescent="0.3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37</v>
      </c>
      <c r="J31">
        <f t="shared" si="2"/>
        <v>9</v>
      </c>
      <c r="K31" t="str">
        <f t="shared" si="3"/>
        <v>Australia</v>
      </c>
      <c r="L31" t="s">
        <v>38</v>
      </c>
      <c r="M31" t="s">
        <v>25</v>
      </c>
      <c r="N31" t="s">
        <v>26</v>
      </c>
      <c r="O31" s="5" t="s">
        <v>161</v>
      </c>
      <c r="P31" t="s">
        <v>162</v>
      </c>
      <c r="Q31">
        <v>38</v>
      </c>
      <c r="R31">
        <v>1</v>
      </c>
      <c r="S31" s="2">
        <v>1252</v>
      </c>
      <c r="T31" s="2">
        <v>2295</v>
      </c>
      <c r="U31" s="2">
        <v>1043</v>
      </c>
      <c r="V31" s="2">
        <f t="shared" si="0"/>
        <v>1252</v>
      </c>
      <c r="W31" s="2">
        <f t="shared" si="1"/>
        <v>2295</v>
      </c>
    </row>
    <row r="32" spans="1:23" x14ac:dyDescent="0.3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43</v>
      </c>
      <c r="H32" t="s">
        <v>22</v>
      </c>
      <c r="I32" t="s">
        <v>89</v>
      </c>
      <c r="J32">
        <f t="shared" si="2"/>
        <v>6</v>
      </c>
      <c r="K32" t="str">
        <f t="shared" si="3"/>
        <v>France</v>
      </c>
      <c r="L32" t="s">
        <v>90</v>
      </c>
      <c r="M32" t="s">
        <v>25</v>
      </c>
      <c r="N32" t="s">
        <v>26</v>
      </c>
      <c r="O32" s="5" t="s">
        <v>161</v>
      </c>
      <c r="P32" t="s">
        <v>162</v>
      </c>
      <c r="Q32">
        <v>38</v>
      </c>
      <c r="R32">
        <v>3</v>
      </c>
      <c r="S32" s="2">
        <v>1252</v>
      </c>
      <c r="T32" s="2">
        <v>2295</v>
      </c>
      <c r="U32" s="2">
        <v>3129</v>
      </c>
      <c r="V32" s="2">
        <f t="shared" si="0"/>
        <v>3756</v>
      </c>
      <c r="W32" s="2">
        <f t="shared" si="1"/>
        <v>6885</v>
      </c>
    </row>
    <row r="33" spans="1:23" x14ac:dyDescent="0.3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>
        <f t="shared" si="2"/>
        <v>9</v>
      </c>
      <c r="K33" t="str">
        <f t="shared" si="3"/>
        <v>Australia</v>
      </c>
      <c r="L33" t="s">
        <v>38</v>
      </c>
      <c r="M33" t="s">
        <v>25</v>
      </c>
      <c r="N33" t="s">
        <v>26</v>
      </c>
      <c r="O33" s="5" t="s">
        <v>164</v>
      </c>
      <c r="P33" t="s">
        <v>163</v>
      </c>
      <c r="Q33">
        <v>38</v>
      </c>
      <c r="R33">
        <v>2</v>
      </c>
      <c r="S33" s="2">
        <v>420</v>
      </c>
      <c r="T33" s="2">
        <v>769</v>
      </c>
      <c r="U33" s="2">
        <v>698</v>
      </c>
      <c r="V33" s="2">
        <f t="shared" si="0"/>
        <v>840</v>
      </c>
      <c r="W33" s="2">
        <f t="shared" si="1"/>
        <v>1538</v>
      </c>
    </row>
    <row r="34" spans="1:23" x14ac:dyDescent="0.3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28</v>
      </c>
      <c r="I34" t="s">
        <v>59</v>
      </c>
      <c r="J34">
        <f t="shared" si="2"/>
        <v>6</v>
      </c>
      <c r="K34" t="str">
        <f t="shared" si="3"/>
        <v>Canada</v>
      </c>
      <c r="L34" t="s">
        <v>60</v>
      </c>
      <c r="M34" t="s">
        <v>25</v>
      </c>
      <c r="N34" t="s">
        <v>26</v>
      </c>
      <c r="O34" s="5" t="s">
        <v>161</v>
      </c>
      <c r="P34" t="s">
        <v>162</v>
      </c>
      <c r="Q34">
        <v>46</v>
      </c>
      <c r="R34">
        <v>1</v>
      </c>
      <c r="S34" s="2">
        <v>1252</v>
      </c>
      <c r="T34" s="2">
        <v>2295</v>
      </c>
      <c r="U34" s="2">
        <v>1043</v>
      </c>
      <c r="V34" s="2">
        <f t="shared" si="0"/>
        <v>1252</v>
      </c>
      <c r="W34" s="2">
        <f t="shared" si="1"/>
        <v>2295</v>
      </c>
    </row>
    <row r="35" spans="1:23" x14ac:dyDescent="0.3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>
        <f t="shared" si="2"/>
        <v>13</v>
      </c>
      <c r="K35" t="str">
        <f t="shared" si="3"/>
        <v>United States</v>
      </c>
      <c r="L35" t="s">
        <v>24</v>
      </c>
      <c r="M35" t="s">
        <v>25</v>
      </c>
      <c r="N35" t="s">
        <v>26</v>
      </c>
      <c r="O35" s="5" t="s">
        <v>164</v>
      </c>
      <c r="P35" t="s">
        <v>163</v>
      </c>
      <c r="Q35">
        <v>46</v>
      </c>
      <c r="R35">
        <v>1</v>
      </c>
      <c r="S35" s="2">
        <v>420</v>
      </c>
      <c r="T35" s="2">
        <v>769</v>
      </c>
      <c r="U35" s="2">
        <v>349</v>
      </c>
      <c r="V35" s="2">
        <f t="shared" si="0"/>
        <v>420</v>
      </c>
      <c r="W35" s="2">
        <f t="shared" si="1"/>
        <v>769</v>
      </c>
    </row>
    <row r="36" spans="1:23" x14ac:dyDescent="0.3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>
        <f t="shared" si="2"/>
        <v>13</v>
      </c>
      <c r="K36" t="str">
        <f t="shared" si="3"/>
        <v>United States</v>
      </c>
      <c r="L36" t="s">
        <v>24</v>
      </c>
      <c r="M36" t="s">
        <v>25</v>
      </c>
      <c r="N36" t="s">
        <v>26</v>
      </c>
      <c r="O36" s="5" t="s">
        <v>161</v>
      </c>
      <c r="P36" t="s">
        <v>163</v>
      </c>
      <c r="Q36">
        <v>38</v>
      </c>
      <c r="R36">
        <v>1</v>
      </c>
      <c r="S36" s="2">
        <v>1266</v>
      </c>
      <c r="T36" s="2">
        <v>2320</v>
      </c>
      <c r="U36" s="2">
        <v>1054</v>
      </c>
      <c r="V36" s="2">
        <f t="shared" si="0"/>
        <v>1266</v>
      </c>
      <c r="W36" s="2">
        <f t="shared" si="1"/>
        <v>2320</v>
      </c>
    </row>
    <row r="37" spans="1:23" x14ac:dyDescent="0.3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>
        <f t="shared" si="2"/>
        <v>9</v>
      </c>
      <c r="K37" t="str">
        <f t="shared" si="3"/>
        <v>Australia</v>
      </c>
      <c r="L37" t="s">
        <v>38</v>
      </c>
      <c r="M37" t="s">
        <v>25</v>
      </c>
      <c r="N37" t="s">
        <v>26</v>
      </c>
      <c r="O37" s="5" t="s">
        <v>161</v>
      </c>
      <c r="P37" t="s">
        <v>163</v>
      </c>
      <c r="Q37">
        <v>42</v>
      </c>
      <c r="R37">
        <v>4</v>
      </c>
      <c r="S37" s="2">
        <v>1266</v>
      </c>
      <c r="T37" s="2">
        <v>2320</v>
      </c>
      <c r="U37" s="2">
        <v>4216</v>
      </c>
      <c r="V37" s="2">
        <f t="shared" si="0"/>
        <v>5064</v>
      </c>
      <c r="W37" s="2">
        <f t="shared" si="1"/>
        <v>9280</v>
      </c>
    </row>
    <row r="38" spans="1:23" x14ac:dyDescent="0.3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>
        <f t="shared" si="2"/>
        <v>13</v>
      </c>
      <c r="K38" t="str">
        <f t="shared" si="3"/>
        <v>United States</v>
      </c>
      <c r="L38" t="s">
        <v>24</v>
      </c>
      <c r="M38" t="s">
        <v>25</v>
      </c>
      <c r="N38" t="s">
        <v>26</v>
      </c>
      <c r="O38" s="5" t="s">
        <v>164</v>
      </c>
      <c r="P38" t="s">
        <v>163</v>
      </c>
      <c r="Q38">
        <v>46</v>
      </c>
      <c r="R38">
        <v>4</v>
      </c>
      <c r="S38" s="2">
        <v>420</v>
      </c>
      <c r="T38" s="2">
        <v>769</v>
      </c>
      <c r="U38" s="2">
        <v>1396</v>
      </c>
      <c r="V38" s="2">
        <f t="shared" si="0"/>
        <v>1680</v>
      </c>
      <c r="W38" s="2">
        <f t="shared" si="1"/>
        <v>3076</v>
      </c>
    </row>
    <row r="39" spans="1:23" x14ac:dyDescent="0.3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28</v>
      </c>
      <c r="I39" t="s">
        <v>37</v>
      </c>
      <c r="J39">
        <f t="shared" si="2"/>
        <v>9</v>
      </c>
      <c r="K39" t="str">
        <f t="shared" si="3"/>
        <v>Australia</v>
      </c>
      <c r="L39" t="s">
        <v>38</v>
      </c>
      <c r="M39" t="s">
        <v>25</v>
      </c>
      <c r="N39" t="s">
        <v>26</v>
      </c>
      <c r="O39" s="5" t="s">
        <v>161</v>
      </c>
      <c r="P39" t="s">
        <v>162</v>
      </c>
      <c r="Q39">
        <v>38</v>
      </c>
      <c r="R39">
        <v>2</v>
      </c>
      <c r="S39" s="2">
        <v>1252</v>
      </c>
      <c r="T39" s="2">
        <v>2295</v>
      </c>
      <c r="U39" s="2">
        <v>2086</v>
      </c>
      <c r="V39" s="2">
        <f t="shared" si="0"/>
        <v>2504</v>
      </c>
      <c r="W39" s="2">
        <f t="shared" si="1"/>
        <v>4590</v>
      </c>
    </row>
    <row r="40" spans="1:23" x14ac:dyDescent="0.3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>
        <f t="shared" si="2"/>
        <v>9</v>
      </c>
      <c r="K40" t="str">
        <f t="shared" si="3"/>
        <v>Australia</v>
      </c>
      <c r="L40" t="s">
        <v>76</v>
      </c>
      <c r="M40" t="s">
        <v>25</v>
      </c>
      <c r="N40" t="s">
        <v>26</v>
      </c>
      <c r="O40" s="5" t="s">
        <v>161</v>
      </c>
      <c r="P40" t="s">
        <v>163</v>
      </c>
      <c r="Q40">
        <v>42</v>
      </c>
      <c r="R40">
        <v>1</v>
      </c>
      <c r="S40" s="2">
        <v>1266</v>
      </c>
      <c r="T40" s="2">
        <v>2320</v>
      </c>
      <c r="U40" s="2">
        <v>1054</v>
      </c>
      <c r="V40" s="2">
        <f t="shared" si="0"/>
        <v>1266</v>
      </c>
      <c r="W40" s="2">
        <f t="shared" si="1"/>
        <v>2320</v>
      </c>
    </row>
    <row r="41" spans="1:23" x14ac:dyDescent="0.3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>
        <f t="shared" si="2"/>
        <v>13</v>
      </c>
      <c r="K41" t="str">
        <f t="shared" si="3"/>
        <v>United States</v>
      </c>
      <c r="L41" t="s">
        <v>47</v>
      </c>
      <c r="M41" t="s">
        <v>25</v>
      </c>
      <c r="N41" t="s">
        <v>26</v>
      </c>
      <c r="O41" s="5" t="s">
        <v>161</v>
      </c>
      <c r="P41" t="s">
        <v>163</v>
      </c>
      <c r="Q41">
        <v>42</v>
      </c>
      <c r="R41">
        <v>1</v>
      </c>
      <c r="S41" s="2">
        <v>1266</v>
      </c>
      <c r="T41" s="2">
        <v>2320</v>
      </c>
      <c r="U41" s="2">
        <v>1054</v>
      </c>
      <c r="V41" s="2">
        <f t="shared" si="0"/>
        <v>1266</v>
      </c>
      <c r="W41" s="2">
        <f t="shared" si="1"/>
        <v>2320</v>
      </c>
    </row>
    <row r="42" spans="1:23" x14ac:dyDescent="0.3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>
        <f t="shared" si="2"/>
        <v>9</v>
      </c>
      <c r="K42" t="str">
        <f t="shared" si="3"/>
        <v>Australia</v>
      </c>
      <c r="L42" t="s">
        <v>54</v>
      </c>
      <c r="M42" t="s">
        <v>25</v>
      </c>
      <c r="N42" t="s">
        <v>26</v>
      </c>
      <c r="O42" s="5" t="s">
        <v>161</v>
      </c>
      <c r="P42" t="s">
        <v>163</v>
      </c>
      <c r="Q42">
        <v>42</v>
      </c>
      <c r="R42">
        <v>3</v>
      </c>
      <c r="S42" s="2">
        <v>1266</v>
      </c>
      <c r="T42" s="2">
        <v>2320</v>
      </c>
      <c r="U42" s="2">
        <v>3162</v>
      </c>
      <c r="V42" s="2">
        <f t="shared" si="0"/>
        <v>3798</v>
      </c>
      <c r="W42" s="2">
        <f t="shared" si="1"/>
        <v>6960</v>
      </c>
    </row>
    <row r="43" spans="1:23" x14ac:dyDescent="0.3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>
        <f t="shared" si="2"/>
        <v>13</v>
      </c>
      <c r="K43" t="str">
        <f t="shared" si="3"/>
        <v>United States</v>
      </c>
      <c r="L43" t="s">
        <v>24</v>
      </c>
      <c r="M43" t="s">
        <v>25</v>
      </c>
      <c r="N43" t="s">
        <v>26</v>
      </c>
      <c r="O43" s="5" t="s">
        <v>165</v>
      </c>
      <c r="P43" t="s">
        <v>163</v>
      </c>
      <c r="Q43">
        <v>40</v>
      </c>
      <c r="R43">
        <v>1</v>
      </c>
      <c r="S43" s="2">
        <v>308</v>
      </c>
      <c r="T43" s="2">
        <v>565</v>
      </c>
      <c r="U43" s="2">
        <v>257</v>
      </c>
      <c r="V43" s="2">
        <f t="shared" si="0"/>
        <v>308</v>
      </c>
      <c r="W43" s="2">
        <f t="shared" si="1"/>
        <v>565</v>
      </c>
    </row>
    <row r="44" spans="1:23" x14ac:dyDescent="0.3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>
        <f t="shared" si="2"/>
        <v>14</v>
      </c>
      <c r="K44" t="str">
        <f t="shared" si="3"/>
        <v>United Kingdom</v>
      </c>
      <c r="L44" t="s">
        <v>30</v>
      </c>
      <c r="M44" t="s">
        <v>25</v>
      </c>
      <c r="N44" t="s">
        <v>26</v>
      </c>
      <c r="O44" s="5" t="s">
        <v>161</v>
      </c>
      <c r="P44" t="s">
        <v>162</v>
      </c>
      <c r="Q44">
        <v>38</v>
      </c>
      <c r="R44">
        <v>1</v>
      </c>
      <c r="S44" s="2">
        <v>1252</v>
      </c>
      <c r="T44" s="2">
        <v>2295</v>
      </c>
      <c r="U44" s="2">
        <v>1043</v>
      </c>
      <c r="V44" s="2">
        <f t="shared" si="0"/>
        <v>1252</v>
      </c>
      <c r="W44" s="2">
        <f t="shared" si="1"/>
        <v>2295</v>
      </c>
    </row>
    <row r="45" spans="1:23" x14ac:dyDescent="0.3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>
        <f t="shared" si="2"/>
        <v>14</v>
      </c>
      <c r="K45" t="str">
        <f t="shared" si="3"/>
        <v>United Kingdom</v>
      </c>
      <c r="L45" t="s">
        <v>30</v>
      </c>
      <c r="M45" t="s">
        <v>25</v>
      </c>
      <c r="N45" t="s">
        <v>26</v>
      </c>
      <c r="O45" s="5" t="s">
        <v>161</v>
      </c>
      <c r="P45" t="s">
        <v>162</v>
      </c>
      <c r="Q45">
        <v>38</v>
      </c>
      <c r="R45">
        <v>1</v>
      </c>
      <c r="S45" s="2">
        <v>1252</v>
      </c>
      <c r="T45" s="2">
        <v>2295</v>
      </c>
      <c r="U45" s="2">
        <v>1043</v>
      </c>
      <c r="V45" s="2">
        <f t="shared" si="0"/>
        <v>1252</v>
      </c>
      <c r="W45" s="2">
        <f t="shared" si="1"/>
        <v>2295</v>
      </c>
    </row>
    <row r="46" spans="1:23" x14ac:dyDescent="0.3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>
        <f t="shared" si="2"/>
        <v>13</v>
      </c>
      <c r="K46" t="str">
        <f t="shared" si="3"/>
        <v>United States</v>
      </c>
      <c r="L46" t="s">
        <v>47</v>
      </c>
      <c r="M46" t="s">
        <v>25</v>
      </c>
      <c r="N46" t="s">
        <v>26</v>
      </c>
      <c r="O46" s="5" t="s">
        <v>161</v>
      </c>
      <c r="P46" t="s">
        <v>163</v>
      </c>
      <c r="Q46">
        <v>38</v>
      </c>
      <c r="R46">
        <v>2</v>
      </c>
      <c r="S46" s="2">
        <v>1266</v>
      </c>
      <c r="T46" s="2">
        <v>2320</v>
      </c>
      <c r="U46" s="2">
        <v>2108</v>
      </c>
      <c r="V46" s="2">
        <f t="shared" si="0"/>
        <v>2532</v>
      </c>
      <c r="W46" s="2">
        <f t="shared" si="1"/>
        <v>4640</v>
      </c>
    </row>
    <row r="47" spans="1:23" x14ac:dyDescent="0.3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28</v>
      </c>
      <c r="I47" t="s">
        <v>23</v>
      </c>
      <c r="J47">
        <f t="shared" si="2"/>
        <v>13</v>
      </c>
      <c r="K47" t="str">
        <f t="shared" si="3"/>
        <v>United States</v>
      </c>
      <c r="L47" t="s">
        <v>24</v>
      </c>
      <c r="M47" t="s">
        <v>25</v>
      </c>
      <c r="N47" t="s">
        <v>26</v>
      </c>
      <c r="O47" s="5" t="s">
        <v>161</v>
      </c>
      <c r="P47" t="s">
        <v>162</v>
      </c>
      <c r="Q47">
        <v>46</v>
      </c>
      <c r="R47">
        <v>1</v>
      </c>
      <c r="S47" s="2">
        <v>1252</v>
      </c>
      <c r="T47" s="2">
        <v>2295</v>
      </c>
      <c r="U47" s="2">
        <v>1043</v>
      </c>
      <c r="V47" s="2">
        <f t="shared" si="0"/>
        <v>1252</v>
      </c>
      <c r="W47" s="2">
        <f t="shared" si="1"/>
        <v>2295</v>
      </c>
    </row>
    <row r="48" spans="1:23" x14ac:dyDescent="0.3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>
        <f t="shared" si="2"/>
        <v>9</v>
      </c>
      <c r="K48" t="str">
        <f t="shared" si="3"/>
        <v>Australia</v>
      </c>
      <c r="L48" t="s">
        <v>76</v>
      </c>
      <c r="M48" t="s">
        <v>25</v>
      </c>
      <c r="N48" t="s">
        <v>26</v>
      </c>
      <c r="O48" s="5" t="s">
        <v>164</v>
      </c>
      <c r="P48" t="s">
        <v>163</v>
      </c>
      <c r="Q48">
        <v>46</v>
      </c>
      <c r="R48">
        <v>1</v>
      </c>
      <c r="S48" s="2">
        <v>420</v>
      </c>
      <c r="T48" s="2">
        <v>769</v>
      </c>
      <c r="U48" s="2">
        <v>349</v>
      </c>
      <c r="V48" s="2">
        <f t="shared" si="0"/>
        <v>420</v>
      </c>
      <c r="W48" s="2">
        <f t="shared" si="1"/>
        <v>769</v>
      </c>
    </row>
    <row r="49" spans="1:23" x14ac:dyDescent="0.3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>
        <f t="shared" si="2"/>
        <v>13</v>
      </c>
      <c r="K49" t="str">
        <f t="shared" si="3"/>
        <v>United States</v>
      </c>
      <c r="L49" t="s">
        <v>24</v>
      </c>
      <c r="M49" t="s">
        <v>25</v>
      </c>
      <c r="N49" t="s">
        <v>26</v>
      </c>
      <c r="O49" s="5" t="s">
        <v>161</v>
      </c>
      <c r="P49" t="s">
        <v>163</v>
      </c>
      <c r="Q49">
        <v>42</v>
      </c>
      <c r="R49">
        <v>1</v>
      </c>
      <c r="S49" s="2">
        <v>1266</v>
      </c>
      <c r="T49" s="2">
        <v>2320</v>
      </c>
      <c r="U49" s="2">
        <v>1054</v>
      </c>
      <c r="V49" s="2">
        <f t="shared" si="0"/>
        <v>1266</v>
      </c>
      <c r="W49" s="2">
        <f t="shared" si="1"/>
        <v>2320</v>
      </c>
    </row>
    <row r="50" spans="1:23" x14ac:dyDescent="0.3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>
        <f t="shared" si="2"/>
        <v>9</v>
      </c>
      <c r="K50" t="str">
        <f t="shared" si="3"/>
        <v>Australia</v>
      </c>
      <c r="L50" t="s">
        <v>38</v>
      </c>
      <c r="M50" t="s">
        <v>25</v>
      </c>
      <c r="N50" t="s">
        <v>26</v>
      </c>
      <c r="O50" s="5" t="s">
        <v>161</v>
      </c>
      <c r="P50" t="s">
        <v>162</v>
      </c>
      <c r="Q50">
        <v>38</v>
      </c>
      <c r="R50">
        <v>2</v>
      </c>
      <c r="S50" s="2">
        <v>1252</v>
      </c>
      <c r="T50" s="2">
        <v>2295</v>
      </c>
      <c r="U50" s="2">
        <v>2086</v>
      </c>
      <c r="V50" s="2">
        <f t="shared" si="0"/>
        <v>2504</v>
      </c>
      <c r="W50" s="2">
        <f t="shared" si="1"/>
        <v>4590</v>
      </c>
    </row>
    <row r="51" spans="1:23" x14ac:dyDescent="0.3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37</v>
      </c>
      <c r="J51">
        <f t="shared" si="2"/>
        <v>9</v>
      </c>
      <c r="K51" t="str">
        <f t="shared" si="3"/>
        <v>Australia</v>
      </c>
      <c r="L51" t="s">
        <v>38</v>
      </c>
      <c r="M51" t="s">
        <v>25</v>
      </c>
      <c r="N51" t="s">
        <v>26</v>
      </c>
      <c r="O51" s="5" t="s">
        <v>161</v>
      </c>
      <c r="P51" t="s">
        <v>162</v>
      </c>
      <c r="Q51">
        <v>38</v>
      </c>
      <c r="R51">
        <v>2</v>
      </c>
      <c r="S51" s="2">
        <v>1252</v>
      </c>
      <c r="T51" s="2">
        <v>2295</v>
      </c>
      <c r="U51" s="2">
        <v>2086</v>
      </c>
      <c r="V51" s="2">
        <f t="shared" si="0"/>
        <v>2504</v>
      </c>
      <c r="W51" s="2">
        <f t="shared" si="1"/>
        <v>4590</v>
      </c>
    </row>
    <row r="52" spans="1:23" x14ac:dyDescent="0.3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89</v>
      </c>
      <c r="J52">
        <f t="shared" si="2"/>
        <v>6</v>
      </c>
      <c r="K52" t="str">
        <f t="shared" si="3"/>
        <v>France</v>
      </c>
      <c r="L52" t="s">
        <v>112</v>
      </c>
      <c r="M52" t="s">
        <v>25</v>
      </c>
      <c r="N52" t="s">
        <v>26</v>
      </c>
      <c r="O52" s="5" t="s">
        <v>161</v>
      </c>
      <c r="P52" t="s">
        <v>163</v>
      </c>
      <c r="Q52">
        <v>46</v>
      </c>
      <c r="R52">
        <v>1</v>
      </c>
      <c r="S52" s="2">
        <v>1266</v>
      </c>
      <c r="T52" s="2">
        <v>2320</v>
      </c>
      <c r="U52" s="2">
        <v>1054</v>
      </c>
      <c r="V52" s="2">
        <f t="shared" si="0"/>
        <v>1266</v>
      </c>
      <c r="W52" s="2">
        <f t="shared" si="1"/>
        <v>2320</v>
      </c>
    </row>
    <row r="53" spans="1:23" x14ac:dyDescent="0.3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>
        <f t="shared" si="2"/>
        <v>13</v>
      </c>
      <c r="K53" t="str">
        <f t="shared" si="3"/>
        <v>United States</v>
      </c>
      <c r="L53" t="s">
        <v>47</v>
      </c>
      <c r="M53" t="s">
        <v>25</v>
      </c>
      <c r="N53" t="s">
        <v>26</v>
      </c>
      <c r="O53" s="5" t="s">
        <v>161</v>
      </c>
      <c r="P53" t="s">
        <v>163</v>
      </c>
      <c r="Q53">
        <v>38</v>
      </c>
      <c r="R53">
        <v>2</v>
      </c>
      <c r="S53" s="2">
        <v>1266</v>
      </c>
      <c r="T53" s="2">
        <v>2320</v>
      </c>
      <c r="U53" s="2">
        <v>2108</v>
      </c>
      <c r="V53" s="2">
        <f t="shared" si="0"/>
        <v>2532</v>
      </c>
      <c r="W53" s="2">
        <f t="shared" si="1"/>
        <v>4640</v>
      </c>
    </row>
    <row r="54" spans="1:23" x14ac:dyDescent="0.3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28</v>
      </c>
      <c r="I54" t="s">
        <v>37</v>
      </c>
      <c r="J54">
        <f t="shared" si="2"/>
        <v>9</v>
      </c>
      <c r="K54" t="str">
        <f t="shared" si="3"/>
        <v>Australia</v>
      </c>
      <c r="L54" t="s">
        <v>38</v>
      </c>
      <c r="M54" t="s">
        <v>25</v>
      </c>
      <c r="N54" t="s">
        <v>26</v>
      </c>
      <c r="O54" s="5" t="s">
        <v>164</v>
      </c>
      <c r="P54" t="s">
        <v>163</v>
      </c>
      <c r="Q54">
        <v>42</v>
      </c>
      <c r="R54">
        <v>1</v>
      </c>
      <c r="S54" s="2">
        <v>420</v>
      </c>
      <c r="T54" s="2">
        <v>769</v>
      </c>
      <c r="U54" s="2">
        <v>349</v>
      </c>
      <c r="V54" s="2">
        <f t="shared" si="0"/>
        <v>420</v>
      </c>
      <c r="W54" s="2">
        <f t="shared" si="1"/>
        <v>769</v>
      </c>
    </row>
    <row r="55" spans="1:23" x14ac:dyDescent="0.3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51</v>
      </c>
      <c r="J55">
        <f t="shared" si="2"/>
        <v>7</v>
      </c>
      <c r="K55" t="str">
        <f t="shared" si="3"/>
        <v>Germany</v>
      </c>
      <c r="L55" t="s">
        <v>52</v>
      </c>
      <c r="M55" t="s">
        <v>25</v>
      </c>
      <c r="N55" t="s">
        <v>26</v>
      </c>
      <c r="O55" s="5" t="s">
        <v>161</v>
      </c>
      <c r="P55" t="s">
        <v>163</v>
      </c>
      <c r="Q55">
        <v>46</v>
      </c>
      <c r="R55">
        <v>1</v>
      </c>
      <c r="S55" s="2">
        <v>1266</v>
      </c>
      <c r="T55" s="2">
        <v>2320</v>
      </c>
      <c r="U55" s="2">
        <v>1054</v>
      </c>
      <c r="V55" s="2">
        <f t="shared" si="0"/>
        <v>1266</v>
      </c>
      <c r="W55" s="2">
        <f t="shared" si="1"/>
        <v>2320</v>
      </c>
    </row>
    <row r="56" spans="1:23" x14ac:dyDescent="0.3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>
        <f t="shared" si="2"/>
        <v>9</v>
      </c>
      <c r="K56" t="str">
        <f t="shared" si="3"/>
        <v>Australia</v>
      </c>
      <c r="L56" t="s">
        <v>38</v>
      </c>
      <c r="M56" t="s">
        <v>25</v>
      </c>
      <c r="N56" t="s">
        <v>26</v>
      </c>
      <c r="O56" s="5" t="s">
        <v>165</v>
      </c>
      <c r="P56" t="s">
        <v>163</v>
      </c>
      <c r="Q56">
        <v>42</v>
      </c>
      <c r="R56">
        <v>4</v>
      </c>
      <c r="S56" s="2">
        <v>308</v>
      </c>
      <c r="T56" s="2">
        <v>565</v>
      </c>
      <c r="U56" s="2">
        <v>1028</v>
      </c>
      <c r="V56" s="2">
        <f t="shared" si="0"/>
        <v>1232</v>
      </c>
      <c r="W56" s="2">
        <f t="shared" si="1"/>
        <v>2260</v>
      </c>
    </row>
    <row r="57" spans="1:23" x14ac:dyDescent="0.3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51</v>
      </c>
      <c r="J57">
        <f t="shared" si="2"/>
        <v>7</v>
      </c>
      <c r="K57" t="str">
        <f t="shared" si="3"/>
        <v>Germany</v>
      </c>
      <c r="L57" t="s">
        <v>52</v>
      </c>
      <c r="M57" t="s">
        <v>25</v>
      </c>
      <c r="N57" t="s">
        <v>26</v>
      </c>
      <c r="O57" s="5" t="s">
        <v>161</v>
      </c>
      <c r="P57" t="s">
        <v>163</v>
      </c>
      <c r="Q57">
        <v>46</v>
      </c>
      <c r="R57">
        <v>4</v>
      </c>
      <c r="S57" s="2">
        <v>1266</v>
      </c>
      <c r="T57" s="2">
        <v>2320</v>
      </c>
      <c r="U57" s="2">
        <v>4216</v>
      </c>
      <c r="V57" s="2">
        <f t="shared" si="0"/>
        <v>5064</v>
      </c>
      <c r="W57" s="2">
        <f t="shared" si="1"/>
        <v>9280</v>
      </c>
    </row>
    <row r="58" spans="1:23" x14ac:dyDescent="0.3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43</v>
      </c>
      <c r="H58" t="s">
        <v>22</v>
      </c>
      <c r="I58" t="s">
        <v>89</v>
      </c>
      <c r="J58">
        <f t="shared" si="2"/>
        <v>6</v>
      </c>
      <c r="K58" t="str">
        <f t="shared" si="3"/>
        <v>France</v>
      </c>
      <c r="L58" t="s">
        <v>120</v>
      </c>
      <c r="M58" t="s">
        <v>25</v>
      </c>
      <c r="N58" t="s">
        <v>26</v>
      </c>
      <c r="O58" s="5" t="s">
        <v>161</v>
      </c>
      <c r="P58" t="s">
        <v>163</v>
      </c>
      <c r="Q58">
        <v>38</v>
      </c>
      <c r="R58">
        <v>3</v>
      </c>
      <c r="S58" s="2">
        <v>1266</v>
      </c>
      <c r="T58" s="2">
        <v>2320</v>
      </c>
      <c r="U58" s="2">
        <v>3162</v>
      </c>
      <c r="V58" s="2">
        <f t="shared" si="0"/>
        <v>3798</v>
      </c>
      <c r="W58" s="2">
        <f t="shared" si="1"/>
        <v>6960</v>
      </c>
    </row>
    <row r="59" spans="1:23" x14ac:dyDescent="0.3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29</v>
      </c>
      <c r="J59">
        <f t="shared" si="2"/>
        <v>14</v>
      </c>
      <c r="K59" t="str">
        <f t="shared" si="3"/>
        <v>United Kingdom</v>
      </c>
      <c r="L59" t="s">
        <v>30</v>
      </c>
      <c r="M59" t="s">
        <v>25</v>
      </c>
      <c r="N59" t="s">
        <v>26</v>
      </c>
      <c r="O59" s="5" t="s">
        <v>164</v>
      </c>
      <c r="P59" t="s">
        <v>163</v>
      </c>
      <c r="Q59">
        <v>42</v>
      </c>
      <c r="R59">
        <v>3</v>
      </c>
      <c r="S59" s="2">
        <v>420</v>
      </c>
      <c r="T59" s="2">
        <v>769</v>
      </c>
      <c r="U59" s="2">
        <v>1047</v>
      </c>
      <c r="V59" s="2">
        <f t="shared" si="0"/>
        <v>1260</v>
      </c>
      <c r="W59" s="2">
        <f t="shared" si="1"/>
        <v>2307</v>
      </c>
    </row>
    <row r="60" spans="1:23" x14ac:dyDescent="0.3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>
        <f t="shared" si="2"/>
        <v>13</v>
      </c>
      <c r="K60" t="str">
        <f t="shared" si="3"/>
        <v>United States</v>
      </c>
      <c r="L60" t="s">
        <v>24</v>
      </c>
      <c r="M60" t="s">
        <v>25</v>
      </c>
      <c r="N60" t="s">
        <v>26</v>
      </c>
      <c r="O60" s="5" t="s">
        <v>161</v>
      </c>
      <c r="P60" t="s">
        <v>162</v>
      </c>
      <c r="Q60">
        <v>42</v>
      </c>
      <c r="R60">
        <v>3</v>
      </c>
      <c r="S60" s="2">
        <v>1252</v>
      </c>
      <c r="T60" s="2">
        <v>2295</v>
      </c>
      <c r="U60" s="2">
        <v>3129</v>
      </c>
      <c r="V60" s="2">
        <f t="shared" si="0"/>
        <v>3756</v>
      </c>
      <c r="W60" s="2">
        <f t="shared" si="1"/>
        <v>6885</v>
      </c>
    </row>
    <row r="61" spans="1:23" x14ac:dyDescent="0.3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28</v>
      </c>
      <c r="I61" t="s">
        <v>89</v>
      </c>
      <c r="J61">
        <f t="shared" si="2"/>
        <v>6</v>
      </c>
      <c r="K61" t="str">
        <f t="shared" si="3"/>
        <v>France</v>
      </c>
      <c r="L61" t="s">
        <v>90</v>
      </c>
      <c r="M61" t="s">
        <v>25</v>
      </c>
      <c r="N61" t="s">
        <v>26</v>
      </c>
      <c r="O61" s="5" t="s">
        <v>161</v>
      </c>
      <c r="P61" t="s">
        <v>162</v>
      </c>
      <c r="Q61">
        <v>46</v>
      </c>
      <c r="R61">
        <v>1</v>
      </c>
      <c r="S61" s="2">
        <v>1252</v>
      </c>
      <c r="T61" s="2">
        <v>2295</v>
      </c>
      <c r="U61" s="2">
        <v>1043</v>
      </c>
      <c r="V61" s="2">
        <f t="shared" si="0"/>
        <v>1252</v>
      </c>
      <c r="W61" s="2">
        <f t="shared" si="1"/>
        <v>2295</v>
      </c>
    </row>
    <row r="62" spans="1:23" x14ac:dyDescent="0.3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>
        <f t="shared" si="2"/>
        <v>13</v>
      </c>
      <c r="K62" t="str">
        <f t="shared" si="3"/>
        <v>United States</v>
      </c>
      <c r="L62" t="s">
        <v>47</v>
      </c>
      <c r="M62" t="s">
        <v>25</v>
      </c>
      <c r="N62" t="s">
        <v>26</v>
      </c>
      <c r="O62" s="5" t="s">
        <v>161</v>
      </c>
      <c r="P62" t="s">
        <v>163</v>
      </c>
      <c r="Q62">
        <v>38</v>
      </c>
      <c r="R62">
        <v>1</v>
      </c>
      <c r="S62" s="2">
        <v>1266</v>
      </c>
      <c r="T62" s="2">
        <v>2320</v>
      </c>
      <c r="U62" s="2">
        <v>1054</v>
      </c>
      <c r="V62" s="2">
        <f t="shared" si="0"/>
        <v>1266</v>
      </c>
      <c r="W62" s="2">
        <f t="shared" si="1"/>
        <v>2320</v>
      </c>
    </row>
    <row r="63" spans="1:23" x14ac:dyDescent="0.3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43</v>
      </c>
      <c r="H63" t="s">
        <v>28</v>
      </c>
      <c r="I63" t="s">
        <v>89</v>
      </c>
      <c r="J63">
        <f t="shared" si="2"/>
        <v>6</v>
      </c>
      <c r="K63" t="str">
        <f t="shared" si="3"/>
        <v>France</v>
      </c>
      <c r="L63" t="s">
        <v>126</v>
      </c>
      <c r="M63" t="s">
        <v>25</v>
      </c>
      <c r="N63" t="s">
        <v>26</v>
      </c>
      <c r="O63" s="5" t="s">
        <v>161</v>
      </c>
      <c r="P63" t="s">
        <v>163</v>
      </c>
      <c r="Q63">
        <v>46</v>
      </c>
      <c r="R63">
        <v>4</v>
      </c>
      <c r="S63" s="2">
        <v>1266</v>
      </c>
      <c r="T63" s="2">
        <v>2320</v>
      </c>
      <c r="U63" s="2">
        <v>4216</v>
      </c>
      <c r="V63" s="2">
        <f t="shared" si="0"/>
        <v>5064</v>
      </c>
      <c r="W63" s="2">
        <f t="shared" si="1"/>
        <v>9280</v>
      </c>
    </row>
    <row r="64" spans="1:23" x14ac:dyDescent="0.3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43</v>
      </c>
      <c r="H64" t="s">
        <v>22</v>
      </c>
      <c r="I64" t="s">
        <v>37</v>
      </c>
      <c r="J64">
        <f t="shared" si="2"/>
        <v>9</v>
      </c>
      <c r="K64" t="str">
        <f t="shared" si="3"/>
        <v>Australia</v>
      </c>
      <c r="L64" t="s">
        <v>76</v>
      </c>
      <c r="M64" t="s">
        <v>25</v>
      </c>
      <c r="N64" t="s">
        <v>26</v>
      </c>
      <c r="O64" s="5" t="s">
        <v>165</v>
      </c>
      <c r="P64" t="s">
        <v>162</v>
      </c>
      <c r="Q64">
        <v>44</v>
      </c>
      <c r="R64">
        <v>4</v>
      </c>
      <c r="S64" s="2">
        <v>295</v>
      </c>
      <c r="T64" s="2">
        <v>540</v>
      </c>
      <c r="U64" s="2">
        <v>980</v>
      </c>
      <c r="V64" s="2">
        <f t="shared" si="0"/>
        <v>1180</v>
      </c>
      <c r="W64" s="2">
        <f t="shared" si="1"/>
        <v>2160</v>
      </c>
    </row>
    <row r="65" spans="1:23" x14ac:dyDescent="0.3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28</v>
      </c>
      <c r="I65" t="s">
        <v>89</v>
      </c>
      <c r="J65">
        <f t="shared" si="2"/>
        <v>6</v>
      </c>
      <c r="K65" t="str">
        <f t="shared" si="3"/>
        <v>France</v>
      </c>
      <c r="L65" t="s">
        <v>90</v>
      </c>
      <c r="M65" t="s">
        <v>25</v>
      </c>
      <c r="N65" t="s">
        <v>26</v>
      </c>
      <c r="O65" s="5" t="s">
        <v>161</v>
      </c>
      <c r="P65" t="s">
        <v>162</v>
      </c>
      <c r="Q65">
        <v>38</v>
      </c>
      <c r="R65">
        <v>4</v>
      </c>
      <c r="S65" s="2">
        <v>1252</v>
      </c>
      <c r="T65" s="2">
        <v>2295</v>
      </c>
      <c r="U65" s="2">
        <v>4172</v>
      </c>
      <c r="V65" s="2">
        <f t="shared" si="0"/>
        <v>5008</v>
      </c>
      <c r="W65" s="2">
        <f t="shared" si="1"/>
        <v>9180</v>
      </c>
    </row>
    <row r="66" spans="1:23" x14ac:dyDescent="0.3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>
        <f t="shared" si="2"/>
        <v>13</v>
      </c>
      <c r="K66" t="str">
        <f t="shared" si="3"/>
        <v>United States</v>
      </c>
      <c r="L66" t="s">
        <v>72</v>
      </c>
      <c r="M66" t="s">
        <v>25</v>
      </c>
      <c r="N66" t="s">
        <v>26</v>
      </c>
      <c r="O66" s="5" t="s">
        <v>166</v>
      </c>
      <c r="P66" t="s">
        <v>162</v>
      </c>
      <c r="Q66">
        <v>48</v>
      </c>
      <c r="R66">
        <v>4</v>
      </c>
      <c r="S66" s="2">
        <v>1898</v>
      </c>
      <c r="T66" s="2">
        <v>3375</v>
      </c>
      <c r="U66" s="2">
        <v>5908</v>
      </c>
      <c r="V66" s="2">
        <f t="shared" ref="V66:V89" si="4">R66*S66</f>
        <v>7592</v>
      </c>
      <c r="W66" s="2">
        <f t="shared" ref="W66:W89" si="5">R66*T66</f>
        <v>13500</v>
      </c>
    </row>
    <row r="67" spans="1:23" x14ac:dyDescent="0.3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>
        <f t="shared" ref="J67:J89" si="6">LEN(I67)</f>
        <v>13</v>
      </c>
      <c r="K67" t="str">
        <f t="shared" ref="K67:K89" si="7">TRIM(I67)</f>
        <v>United States</v>
      </c>
      <c r="L67" t="s">
        <v>72</v>
      </c>
      <c r="M67" t="s">
        <v>25</v>
      </c>
      <c r="N67" t="s">
        <v>26</v>
      </c>
      <c r="O67" s="5" t="s">
        <v>161</v>
      </c>
      <c r="P67" t="s">
        <v>162</v>
      </c>
      <c r="Q67">
        <v>38</v>
      </c>
      <c r="R67">
        <v>4</v>
      </c>
      <c r="S67" s="2">
        <v>1252</v>
      </c>
      <c r="T67" s="2">
        <v>2295</v>
      </c>
      <c r="U67" s="2">
        <v>4172</v>
      </c>
      <c r="V67" s="2">
        <f t="shared" si="4"/>
        <v>5008</v>
      </c>
      <c r="W67" s="2">
        <f t="shared" si="5"/>
        <v>9180</v>
      </c>
    </row>
    <row r="68" spans="1:23" x14ac:dyDescent="0.3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>
        <f t="shared" si="6"/>
        <v>13</v>
      </c>
      <c r="K68" t="str">
        <f t="shared" si="7"/>
        <v>United States</v>
      </c>
      <c r="L68" t="s">
        <v>24</v>
      </c>
      <c r="M68" t="s">
        <v>25</v>
      </c>
      <c r="N68" t="s">
        <v>26</v>
      </c>
      <c r="O68" s="5" t="s">
        <v>161</v>
      </c>
      <c r="P68" t="s">
        <v>162</v>
      </c>
      <c r="Q68">
        <v>46</v>
      </c>
      <c r="R68">
        <v>4</v>
      </c>
      <c r="S68" s="2">
        <v>1252</v>
      </c>
      <c r="T68" s="2">
        <v>2295</v>
      </c>
      <c r="U68" s="2">
        <v>4172</v>
      </c>
      <c r="V68" s="2">
        <f t="shared" si="4"/>
        <v>5008</v>
      </c>
      <c r="W68" s="2">
        <f t="shared" si="5"/>
        <v>9180</v>
      </c>
    </row>
    <row r="69" spans="1:23" x14ac:dyDescent="0.3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>
        <f t="shared" si="6"/>
        <v>9</v>
      </c>
      <c r="K69" t="str">
        <f t="shared" si="7"/>
        <v>Australia</v>
      </c>
      <c r="L69" t="s">
        <v>54</v>
      </c>
      <c r="M69" t="s">
        <v>25</v>
      </c>
      <c r="N69" t="s">
        <v>26</v>
      </c>
      <c r="O69" s="5" t="s">
        <v>161</v>
      </c>
      <c r="P69" t="s">
        <v>162</v>
      </c>
      <c r="Q69">
        <v>46</v>
      </c>
      <c r="R69">
        <v>4</v>
      </c>
      <c r="S69" s="2">
        <v>1252</v>
      </c>
      <c r="T69" s="2">
        <v>2295</v>
      </c>
      <c r="U69" s="2">
        <v>4172</v>
      </c>
      <c r="V69" s="2">
        <f t="shared" si="4"/>
        <v>5008</v>
      </c>
      <c r="W69" s="2">
        <f t="shared" si="5"/>
        <v>9180</v>
      </c>
    </row>
    <row r="70" spans="1:23" x14ac:dyDescent="0.3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43</v>
      </c>
      <c r="H70" t="s">
        <v>28</v>
      </c>
      <c r="I70" t="s">
        <v>37</v>
      </c>
      <c r="J70">
        <f t="shared" si="6"/>
        <v>9</v>
      </c>
      <c r="K70" t="str">
        <f t="shared" si="7"/>
        <v>Australia</v>
      </c>
      <c r="L70" t="s">
        <v>136</v>
      </c>
      <c r="M70" t="s">
        <v>25</v>
      </c>
      <c r="N70" t="s">
        <v>26</v>
      </c>
      <c r="O70" s="5" t="s">
        <v>165</v>
      </c>
      <c r="P70" t="s">
        <v>162</v>
      </c>
      <c r="Q70">
        <v>40</v>
      </c>
      <c r="R70">
        <v>2</v>
      </c>
      <c r="S70" s="2">
        <v>295</v>
      </c>
      <c r="T70" s="2">
        <v>540</v>
      </c>
      <c r="U70" s="2">
        <v>490</v>
      </c>
      <c r="V70" s="2">
        <f t="shared" si="4"/>
        <v>590</v>
      </c>
      <c r="W70" s="2">
        <f t="shared" si="5"/>
        <v>1080</v>
      </c>
    </row>
    <row r="71" spans="1:23" x14ac:dyDescent="0.3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51</v>
      </c>
      <c r="J71">
        <f t="shared" si="6"/>
        <v>7</v>
      </c>
      <c r="K71" t="str">
        <f t="shared" si="7"/>
        <v>Germany</v>
      </c>
      <c r="L71" t="s">
        <v>138</v>
      </c>
      <c r="M71" t="s">
        <v>25</v>
      </c>
      <c r="N71" t="s">
        <v>26</v>
      </c>
      <c r="O71" s="5" t="s">
        <v>161</v>
      </c>
      <c r="P71" t="s">
        <v>162</v>
      </c>
      <c r="Q71">
        <v>46</v>
      </c>
      <c r="R71">
        <v>2</v>
      </c>
      <c r="S71" s="2">
        <v>1252</v>
      </c>
      <c r="T71" s="2">
        <v>2295</v>
      </c>
      <c r="U71" s="2">
        <v>2086</v>
      </c>
      <c r="V71" s="2">
        <f t="shared" si="4"/>
        <v>2504</v>
      </c>
      <c r="W71" s="2">
        <f t="shared" si="5"/>
        <v>4590</v>
      </c>
    </row>
    <row r="72" spans="1:23" x14ac:dyDescent="0.3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>
        <f t="shared" si="6"/>
        <v>13</v>
      </c>
      <c r="K72" t="str">
        <f t="shared" si="7"/>
        <v>United States</v>
      </c>
      <c r="L72" t="s">
        <v>47</v>
      </c>
      <c r="M72" t="s">
        <v>25</v>
      </c>
      <c r="N72" t="s">
        <v>26</v>
      </c>
      <c r="O72" s="5" t="s">
        <v>161</v>
      </c>
      <c r="P72" t="s">
        <v>163</v>
      </c>
      <c r="Q72">
        <v>38</v>
      </c>
      <c r="R72">
        <v>1</v>
      </c>
      <c r="S72" s="2">
        <v>1266</v>
      </c>
      <c r="T72" s="2">
        <v>2320</v>
      </c>
      <c r="U72" s="2">
        <v>1054</v>
      </c>
      <c r="V72" s="2">
        <f t="shared" si="4"/>
        <v>1266</v>
      </c>
      <c r="W72" s="2">
        <f t="shared" si="5"/>
        <v>2320</v>
      </c>
    </row>
    <row r="73" spans="1:23" x14ac:dyDescent="0.3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>
        <f t="shared" si="6"/>
        <v>9</v>
      </c>
      <c r="K73" t="str">
        <f t="shared" si="7"/>
        <v>Australia</v>
      </c>
      <c r="L73" t="s">
        <v>76</v>
      </c>
      <c r="M73" t="s">
        <v>25</v>
      </c>
      <c r="N73" t="s">
        <v>26</v>
      </c>
      <c r="O73" s="5" t="s">
        <v>166</v>
      </c>
      <c r="P73" t="s">
        <v>162</v>
      </c>
      <c r="Q73">
        <v>38</v>
      </c>
      <c r="R73">
        <v>4</v>
      </c>
      <c r="S73" s="2">
        <v>1898</v>
      </c>
      <c r="T73" s="2">
        <v>3375</v>
      </c>
      <c r="U73" s="2">
        <v>5908</v>
      </c>
      <c r="V73" s="2">
        <f t="shared" si="4"/>
        <v>7592</v>
      </c>
      <c r="W73" s="2">
        <f t="shared" si="5"/>
        <v>13500</v>
      </c>
    </row>
    <row r="74" spans="1:23" x14ac:dyDescent="0.3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37</v>
      </c>
      <c r="J74">
        <f t="shared" si="6"/>
        <v>9</v>
      </c>
      <c r="K74" t="str">
        <f t="shared" si="7"/>
        <v>Australia</v>
      </c>
      <c r="L74" t="s">
        <v>54</v>
      </c>
      <c r="M74" t="s">
        <v>25</v>
      </c>
      <c r="N74" t="s">
        <v>26</v>
      </c>
      <c r="O74" s="5" t="s">
        <v>161</v>
      </c>
      <c r="P74" t="s">
        <v>162</v>
      </c>
      <c r="Q74">
        <v>46</v>
      </c>
      <c r="R74">
        <v>4</v>
      </c>
      <c r="S74" s="2">
        <v>1252</v>
      </c>
      <c r="T74" s="2">
        <v>2295</v>
      </c>
      <c r="U74" s="2">
        <v>4172</v>
      </c>
      <c r="V74" s="2">
        <f t="shared" si="4"/>
        <v>5008</v>
      </c>
      <c r="W74" s="2">
        <f t="shared" si="5"/>
        <v>9180</v>
      </c>
    </row>
    <row r="75" spans="1:23" x14ac:dyDescent="0.3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28</v>
      </c>
      <c r="I75" t="s">
        <v>59</v>
      </c>
      <c r="J75">
        <f t="shared" si="6"/>
        <v>6</v>
      </c>
      <c r="K75" t="str">
        <f t="shared" si="7"/>
        <v>Canada</v>
      </c>
      <c r="L75" t="s">
        <v>60</v>
      </c>
      <c r="M75" t="s">
        <v>25</v>
      </c>
      <c r="N75" t="s">
        <v>26</v>
      </c>
      <c r="O75" s="5" t="s">
        <v>165</v>
      </c>
      <c r="P75" t="s">
        <v>162</v>
      </c>
      <c r="Q75">
        <v>52</v>
      </c>
      <c r="R75">
        <v>3</v>
      </c>
      <c r="S75" s="2">
        <v>295</v>
      </c>
      <c r="T75" s="2">
        <v>540</v>
      </c>
      <c r="U75" s="2">
        <v>735</v>
      </c>
      <c r="V75" s="2">
        <f t="shared" si="4"/>
        <v>885</v>
      </c>
      <c r="W75" s="2">
        <f t="shared" si="5"/>
        <v>1620</v>
      </c>
    </row>
    <row r="76" spans="1:23" x14ac:dyDescent="0.3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>
        <f t="shared" si="6"/>
        <v>9</v>
      </c>
      <c r="K76" t="str">
        <f t="shared" si="7"/>
        <v>Australia</v>
      </c>
      <c r="L76" t="s">
        <v>54</v>
      </c>
      <c r="M76" t="s">
        <v>25</v>
      </c>
      <c r="N76" t="s">
        <v>26</v>
      </c>
      <c r="O76" s="5" t="s">
        <v>161</v>
      </c>
      <c r="P76" t="s">
        <v>163</v>
      </c>
      <c r="Q76">
        <v>38</v>
      </c>
      <c r="R76">
        <v>1</v>
      </c>
      <c r="S76" s="2">
        <v>1266</v>
      </c>
      <c r="T76" s="2">
        <v>2320</v>
      </c>
      <c r="U76" s="2">
        <v>1054</v>
      </c>
      <c r="V76" s="2">
        <f t="shared" si="4"/>
        <v>1266</v>
      </c>
      <c r="W76" s="2">
        <f t="shared" si="5"/>
        <v>2320</v>
      </c>
    </row>
    <row r="77" spans="1:23" x14ac:dyDescent="0.3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37</v>
      </c>
      <c r="J77">
        <f t="shared" si="6"/>
        <v>9</v>
      </c>
      <c r="K77" t="str">
        <f t="shared" si="7"/>
        <v>Australia</v>
      </c>
      <c r="L77" t="s">
        <v>76</v>
      </c>
      <c r="M77" t="s">
        <v>25</v>
      </c>
      <c r="N77" t="s">
        <v>26</v>
      </c>
      <c r="O77" s="5" t="s">
        <v>161</v>
      </c>
      <c r="P77" t="s">
        <v>163</v>
      </c>
      <c r="Q77">
        <v>38</v>
      </c>
      <c r="R77">
        <v>1</v>
      </c>
      <c r="S77" s="2">
        <v>1266</v>
      </c>
      <c r="T77" s="2">
        <v>2320</v>
      </c>
      <c r="U77" s="2">
        <v>1054</v>
      </c>
      <c r="V77" s="2">
        <f t="shared" si="4"/>
        <v>1266</v>
      </c>
      <c r="W77" s="2">
        <f t="shared" si="5"/>
        <v>2320</v>
      </c>
    </row>
    <row r="78" spans="1:23" x14ac:dyDescent="0.3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28</v>
      </c>
      <c r="I78" t="s">
        <v>89</v>
      </c>
      <c r="J78">
        <f t="shared" si="6"/>
        <v>6</v>
      </c>
      <c r="K78" t="str">
        <f t="shared" si="7"/>
        <v>France</v>
      </c>
      <c r="L78" t="s">
        <v>147</v>
      </c>
      <c r="M78" t="s">
        <v>25</v>
      </c>
      <c r="N78" t="s">
        <v>26</v>
      </c>
      <c r="O78" s="5" t="s">
        <v>161</v>
      </c>
      <c r="P78" t="s">
        <v>163</v>
      </c>
      <c r="Q78">
        <v>38</v>
      </c>
      <c r="R78">
        <v>3</v>
      </c>
      <c r="S78" s="2">
        <v>1266</v>
      </c>
      <c r="T78" s="2">
        <v>2320</v>
      </c>
      <c r="U78" s="2">
        <v>3162</v>
      </c>
      <c r="V78" s="2">
        <f t="shared" si="4"/>
        <v>3798</v>
      </c>
      <c r="W78" s="2">
        <f t="shared" si="5"/>
        <v>6960</v>
      </c>
    </row>
    <row r="79" spans="1:23" x14ac:dyDescent="0.3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43</v>
      </c>
      <c r="H79" t="s">
        <v>28</v>
      </c>
      <c r="I79" t="s">
        <v>29</v>
      </c>
      <c r="J79">
        <f t="shared" si="6"/>
        <v>14</v>
      </c>
      <c r="K79" t="str">
        <f t="shared" si="7"/>
        <v>United Kingdom</v>
      </c>
      <c r="L79" t="s">
        <v>30</v>
      </c>
      <c r="M79" t="s">
        <v>25</v>
      </c>
      <c r="N79" t="s">
        <v>26</v>
      </c>
      <c r="O79" s="5" t="s">
        <v>164</v>
      </c>
      <c r="P79" t="s">
        <v>163</v>
      </c>
      <c r="Q79">
        <v>46</v>
      </c>
      <c r="R79">
        <v>2</v>
      </c>
      <c r="S79" s="2">
        <v>420</v>
      </c>
      <c r="T79" s="2">
        <v>769</v>
      </c>
      <c r="U79" s="2">
        <v>698</v>
      </c>
      <c r="V79" s="2">
        <f t="shared" si="4"/>
        <v>840</v>
      </c>
      <c r="W79" s="2">
        <f t="shared" si="5"/>
        <v>1538</v>
      </c>
    </row>
    <row r="80" spans="1:23" x14ac:dyDescent="0.3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>
        <f t="shared" si="6"/>
        <v>13</v>
      </c>
      <c r="K80" t="str">
        <f t="shared" si="7"/>
        <v>United States</v>
      </c>
      <c r="L80" t="s">
        <v>47</v>
      </c>
      <c r="M80" t="s">
        <v>25</v>
      </c>
      <c r="N80" t="s">
        <v>26</v>
      </c>
      <c r="O80" s="5" t="s">
        <v>161</v>
      </c>
      <c r="P80" t="s">
        <v>163</v>
      </c>
      <c r="Q80">
        <v>38</v>
      </c>
      <c r="R80">
        <v>3</v>
      </c>
      <c r="S80" s="2">
        <v>1266</v>
      </c>
      <c r="T80" s="2">
        <v>2320</v>
      </c>
      <c r="U80" s="2">
        <v>3162</v>
      </c>
      <c r="V80" s="2">
        <f t="shared" si="4"/>
        <v>3798</v>
      </c>
      <c r="W80" s="2">
        <f t="shared" si="5"/>
        <v>6960</v>
      </c>
    </row>
    <row r="81" spans="1:23" x14ac:dyDescent="0.3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>
        <f t="shared" si="6"/>
        <v>13</v>
      </c>
      <c r="K81" t="str">
        <f t="shared" si="7"/>
        <v>United States</v>
      </c>
      <c r="L81" t="s">
        <v>24</v>
      </c>
      <c r="M81" t="s">
        <v>25</v>
      </c>
      <c r="N81" t="s">
        <v>26</v>
      </c>
      <c r="O81" s="5" t="s">
        <v>161</v>
      </c>
      <c r="P81" t="s">
        <v>162</v>
      </c>
      <c r="Q81">
        <v>42</v>
      </c>
      <c r="R81">
        <v>3</v>
      </c>
      <c r="S81" s="2">
        <v>1252</v>
      </c>
      <c r="T81" s="2">
        <v>2295</v>
      </c>
      <c r="U81" s="2">
        <v>3129</v>
      </c>
      <c r="V81" s="2">
        <f t="shared" si="4"/>
        <v>3756</v>
      </c>
      <c r="W81" s="2">
        <f t="shared" si="5"/>
        <v>6885</v>
      </c>
    </row>
    <row r="82" spans="1:23" x14ac:dyDescent="0.3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43</v>
      </c>
      <c r="H82" t="s">
        <v>22</v>
      </c>
      <c r="I82" t="s">
        <v>37</v>
      </c>
      <c r="J82">
        <f t="shared" si="6"/>
        <v>9</v>
      </c>
      <c r="K82" t="str">
        <f t="shared" si="7"/>
        <v>Australia</v>
      </c>
      <c r="L82" t="s">
        <v>38</v>
      </c>
      <c r="M82" t="s">
        <v>25</v>
      </c>
      <c r="N82" t="s">
        <v>26</v>
      </c>
      <c r="O82" s="5" t="s">
        <v>165</v>
      </c>
      <c r="P82" t="s">
        <v>163</v>
      </c>
      <c r="Q82">
        <v>42</v>
      </c>
      <c r="R82">
        <v>1</v>
      </c>
      <c r="S82" s="2">
        <v>308</v>
      </c>
      <c r="T82" s="2">
        <v>565</v>
      </c>
      <c r="U82" s="2">
        <v>257</v>
      </c>
      <c r="V82" s="2">
        <f t="shared" si="4"/>
        <v>308</v>
      </c>
      <c r="W82" s="2">
        <f t="shared" si="5"/>
        <v>565</v>
      </c>
    </row>
    <row r="83" spans="1:23" x14ac:dyDescent="0.3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28</v>
      </c>
      <c r="I83" t="s">
        <v>89</v>
      </c>
      <c r="J83">
        <f t="shared" si="6"/>
        <v>6</v>
      </c>
      <c r="K83" t="str">
        <f t="shared" si="7"/>
        <v>France</v>
      </c>
      <c r="L83" t="s">
        <v>90</v>
      </c>
      <c r="M83" t="s">
        <v>25</v>
      </c>
      <c r="N83" t="s">
        <v>26</v>
      </c>
      <c r="O83" s="5" t="s">
        <v>161</v>
      </c>
      <c r="P83" t="s">
        <v>162</v>
      </c>
      <c r="Q83">
        <v>38</v>
      </c>
      <c r="R83">
        <v>1</v>
      </c>
      <c r="S83" s="2">
        <v>1252</v>
      </c>
      <c r="T83" s="2">
        <v>2295</v>
      </c>
      <c r="U83" s="2">
        <v>1043</v>
      </c>
      <c r="V83" s="2">
        <f t="shared" si="4"/>
        <v>1252</v>
      </c>
      <c r="W83" s="2">
        <f t="shared" si="5"/>
        <v>2295</v>
      </c>
    </row>
    <row r="84" spans="1:23" x14ac:dyDescent="0.3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59</v>
      </c>
      <c r="J84">
        <f t="shared" si="6"/>
        <v>6</v>
      </c>
      <c r="K84" t="str">
        <f t="shared" si="7"/>
        <v>Canada</v>
      </c>
      <c r="L84" t="s">
        <v>60</v>
      </c>
      <c r="M84" t="s">
        <v>25</v>
      </c>
      <c r="N84" t="s">
        <v>26</v>
      </c>
      <c r="O84" s="5" t="s">
        <v>161</v>
      </c>
      <c r="P84" t="s">
        <v>162</v>
      </c>
      <c r="Q84">
        <v>46</v>
      </c>
      <c r="R84">
        <v>1</v>
      </c>
      <c r="S84" s="2">
        <v>1252</v>
      </c>
      <c r="T84" s="2">
        <v>2295</v>
      </c>
      <c r="U84" s="2">
        <v>1043</v>
      </c>
      <c r="V84" s="2">
        <f t="shared" si="4"/>
        <v>1252</v>
      </c>
      <c r="W84" s="2">
        <f t="shared" si="5"/>
        <v>2295</v>
      </c>
    </row>
    <row r="85" spans="1:23" x14ac:dyDescent="0.3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51</v>
      </c>
      <c r="J85">
        <f t="shared" si="6"/>
        <v>7</v>
      </c>
      <c r="K85" t="str">
        <f t="shared" si="7"/>
        <v>Germany</v>
      </c>
      <c r="L85" t="s">
        <v>138</v>
      </c>
      <c r="M85" t="s">
        <v>25</v>
      </c>
      <c r="N85" t="s">
        <v>26</v>
      </c>
      <c r="O85" s="5" t="s">
        <v>161</v>
      </c>
      <c r="P85" t="s">
        <v>163</v>
      </c>
      <c r="Q85">
        <v>38</v>
      </c>
      <c r="R85">
        <v>1</v>
      </c>
      <c r="S85" s="2">
        <v>1266</v>
      </c>
      <c r="T85" s="2">
        <v>2320</v>
      </c>
      <c r="U85" s="2">
        <v>1054</v>
      </c>
      <c r="V85" s="2">
        <f t="shared" si="4"/>
        <v>1266</v>
      </c>
      <c r="W85" s="2">
        <f t="shared" si="5"/>
        <v>2320</v>
      </c>
    </row>
    <row r="86" spans="1:23" x14ac:dyDescent="0.3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>
        <f t="shared" si="6"/>
        <v>13</v>
      </c>
      <c r="K86" t="str">
        <f t="shared" si="7"/>
        <v>United States</v>
      </c>
      <c r="L86" t="s">
        <v>72</v>
      </c>
      <c r="M86" t="s">
        <v>25</v>
      </c>
      <c r="N86" t="s">
        <v>26</v>
      </c>
      <c r="O86" s="5" t="s">
        <v>161</v>
      </c>
      <c r="P86" t="s">
        <v>163</v>
      </c>
      <c r="Q86">
        <v>42</v>
      </c>
      <c r="R86">
        <v>1</v>
      </c>
      <c r="S86" s="2">
        <v>1266</v>
      </c>
      <c r="T86" s="2">
        <v>2320</v>
      </c>
      <c r="U86" s="2">
        <v>1054</v>
      </c>
      <c r="V86" s="2">
        <f t="shared" si="4"/>
        <v>1266</v>
      </c>
      <c r="W86" s="2">
        <f t="shared" si="5"/>
        <v>2320</v>
      </c>
    </row>
    <row r="87" spans="1:23" x14ac:dyDescent="0.3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59</v>
      </c>
      <c r="J87">
        <f t="shared" si="6"/>
        <v>6</v>
      </c>
      <c r="K87" t="str">
        <f t="shared" si="7"/>
        <v>Canada</v>
      </c>
      <c r="L87" t="s">
        <v>60</v>
      </c>
      <c r="M87" t="s">
        <v>25</v>
      </c>
      <c r="N87" t="s">
        <v>26</v>
      </c>
      <c r="O87" s="5" t="s">
        <v>161</v>
      </c>
      <c r="P87" t="s">
        <v>162</v>
      </c>
      <c r="Q87">
        <v>42</v>
      </c>
      <c r="R87">
        <v>1</v>
      </c>
      <c r="S87" s="2">
        <v>1252</v>
      </c>
      <c r="T87" s="2">
        <v>2295</v>
      </c>
      <c r="U87" s="2">
        <v>1043</v>
      </c>
      <c r="V87" s="2">
        <f t="shared" si="4"/>
        <v>1252</v>
      </c>
      <c r="W87" s="2">
        <f t="shared" si="5"/>
        <v>2295</v>
      </c>
    </row>
    <row r="88" spans="1:23" x14ac:dyDescent="0.3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>
        <f t="shared" si="6"/>
        <v>13</v>
      </c>
      <c r="K88" t="str">
        <f t="shared" si="7"/>
        <v>United States</v>
      </c>
      <c r="L88" t="s">
        <v>24</v>
      </c>
      <c r="M88" t="s">
        <v>25</v>
      </c>
      <c r="N88" t="s">
        <v>26</v>
      </c>
      <c r="O88" s="5" t="s">
        <v>165</v>
      </c>
      <c r="P88" t="s">
        <v>162</v>
      </c>
      <c r="Q88">
        <v>42</v>
      </c>
      <c r="R88">
        <v>1</v>
      </c>
      <c r="S88" s="2">
        <v>295</v>
      </c>
      <c r="T88" s="2">
        <v>540</v>
      </c>
      <c r="U88" s="2">
        <v>245</v>
      </c>
      <c r="V88" s="2">
        <f t="shared" si="4"/>
        <v>295</v>
      </c>
      <c r="W88" s="2">
        <f t="shared" si="5"/>
        <v>540</v>
      </c>
    </row>
    <row r="89" spans="1:23" x14ac:dyDescent="0.3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37</v>
      </c>
      <c r="J89">
        <f t="shared" si="6"/>
        <v>9</v>
      </c>
      <c r="K89" t="str">
        <f t="shared" si="7"/>
        <v>Australia</v>
      </c>
      <c r="L89" t="s">
        <v>54</v>
      </c>
      <c r="M89" t="s">
        <v>25</v>
      </c>
      <c r="N89" t="s">
        <v>26</v>
      </c>
      <c r="O89" s="5" t="s">
        <v>161</v>
      </c>
      <c r="P89" t="s">
        <v>162</v>
      </c>
      <c r="Q89">
        <v>42</v>
      </c>
      <c r="R89">
        <v>4</v>
      </c>
      <c r="S89" s="2">
        <v>1252</v>
      </c>
      <c r="T89" s="2">
        <v>2295</v>
      </c>
      <c r="U89" s="2">
        <v>4172</v>
      </c>
      <c r="V89" s="2">
        <f t="shared" si="4"/>
        <v>5008</v>
      </c>
      <c r="W89" s="2">
        <f t="shared" si="5"/>
        <v>9180</v>
      </c>
    </row>
    <row r="90" spans="1:23" x14ac:dyDescent="0.3">
      <c r="G9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7D56-E960-4181-A822-F85F5377E958}">
  <dimension ref="A1:U89"/>
  <sheetViews>
    <sheetView tabSelected="1" zoomScale="70" zoomScaleNormal="70" workbookViewId="0">
      <selection activeCell="M24" sqref="M24"/>
    </sheetView>
  </sheetViews>
  <sheetFormatPr baseColWidth="10" defaultColWidth="8.88671875" defaultRowHeight="14.4" x14ac:dyDescent="0.3"/>
  <cols>
    <col min="1" max="1" width="13.33203125" bestFit="1" customWidth="1"/>
    <col min="2" max="2" width="11.44140625" customWidth="1"/>
    <col min="4" max="4" width="10.109375" bestFit="1" customWidth="1"/>
    <col min="7" max="7" width="19.6640625" bestFit="1" customWidth="1"/>
    <col min="9" max="9" width="15.44140625" bestFit="1" customWidth="1"/>
    <col min="10" max="10" width="19.88671875" bestFit="1" customWidth="1"/>
    <col min="11" max="11" width="16.6640625" customWidth="1"/>
    <col min="12" max="12" width="14.88671875" bestFit="1" customWidth="1"/>
    <col min="13" max="13" width="25" bestFit="1" customWidth="1"/>
    <col min="15" max="15" width="9.21875" customWidth="1"/>
    <col min="16" max="16" width="10.44140625" bestFit="1" customWidth="1"/>
    <col min="17" max="17" width="11" bestFit="1" customWidth="1"/>
    <col min="18" max="18" width="11.109375" customWidth="1"/>
    <col min="19" max="19" width="12" customWidth="1"/>
    <col min="20" max="20" width="10.88671875" bestFit="1" customWidth="1"/>
    <col min="21" max="21" width="12.21875" customWidth="1"/>
  </cols>
  <sheetData>
    <row r="1" spans="1:21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t="s">
        <v>6</v>
      </c>
      <c r="H1" s="4" t="s">
        <v>172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168</v>
      </c>
      <c r="N1" s="4" t="s">
        <v>167</v>
      </c>
      <c r="O1" s="4" t="s">
        <v>160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</row>
    <row r="2" spans="1:21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t="s">
        <v>21</v>
      </c>
      <c r="H2" t="s">
        <v>173</v>
      </c>
      <c r="I2" t="s">
        <v>23</v>
      </c>
      <c r="J2" t="s">
        <v>24</v>
      </c>
      <c r="K2" t="s">
        <v>25</v>
      </c>
      <c r="L2" t="s">
        <v>26</v>
      </c>
      <c r="M2" s="5" t="s">
        <v>161</v>
      </c>
      <c r="N2" t="s">
        <v>162</v>
      </c>
      <c r="O2">
        <v>46</v>
      </c>
      <c r="P2">
        <v>4</v>
      </c>
      <c r="Q2" s="2">
        <v>1252</v>
      </c>
      <c r="R2" s="2">
        <v>2295</v>
      </c>
      <c r="S2" s="2">
        <v>4172</v>
      </c>
      <c r="T2" s="2">
        <f t="shared" ref="T2:T65" si="0">P2*Q2</f>
        <v>5008</v>
      </c>
      <c r="U2" s="2">
        <f t="shared" ref="U2:U65" si="1">P2*R2</f>
        <v>9180</v>
      </c>
    </row>
    <row r="3" spans="1:21" x14ac:dyDescent="0.3">
      <c r="A3" s="3" t="s">
        <v>159</v>
      </c>
      <c r="B3" s="1">
        <v>44531</v>
      </c>
      <c r="C3">
        <v>1</v>
      </c>
      <c r="D3" t="s">
        <v>20</v>
      </c>
      <c r="E3">
        <v>2021</v>
      </c>
      <c r="F3">
        <v>44</v>
      </c>
      <c r="G3" t="s">
        <v>21</v>
      </c>
      <c r="H3" t="s">
        <v>171</v>
      </c>
      <c r="I3" t="s">
        <v>29</v>
      </c>
      <c r="J3" t="s">
        <v>30</v>
      </c>
      <c r="K3" t="s">
        <v>25</v>
      </c>
      <c r="L3" t="s">
        <v>26</v>
      </c>
      <c r="M3" s="5" t="s">
        <v>161</v>
      </c>
      <c r="N3" t="s">
        <v>163</v>
      </c>
      <c r="O3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si="0"/>
        <v>1266</v>
      </c>
      <c r="U3" s="2">
        <f t="shared" si="1"/>
        <v>2320</v>
      </c>
    </row>
    <row r="4" spans="1:21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t="s">
        <v>21</v>
      </c>
      <c r="H4" t="s">
        <v>171</v>
      </c>
      <c r="I4" t="s">
        <v>23</v>
      </c>
      <c r="J4" t="s">
        <v>24</v>
      </c>
      <c r="K4" t="s">
        <v>25</v>
      </c>
      <c r="L4" t="s">
        <v>26</v>
      </c>
      <c r="M4" s="5" t="s">
        <v>164</v>
      </c>
      <c r="N4" t="s">
        <v>163</v>
      </c>
      <c r="O4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t="s">
        <v>36</v>
      </c>
      <c r="H5" t="s">
        <v>173</v>
      </c>
      <c r="I5" t="s">
        <v>37</v>
      </c>
      <c r="J5" t="s">
        <v>38</v>
      </c>
      <c r="K5" t="s">
        <v>25</v>
      </c>
      <c r="L5" t="s">
        <v>26</v>
      </c>
      <c r="M5" s="5" t="s">
        <v>164</v>
      </c>
      <c r="N5" t="s">
        <v>163</v>
      </c>
      <c r="O5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t="s">
        <v>21</v>
      </c>
      <c r="H6" t="s">
        <v>173</v>
      </c>
      <c r="I6" t="s">
        <v>23</v>
      </c>
      <c r="J6" t="s">
        <v>24</v>
      </c>
      <c r="K6" t="s">
        <v>25</v>
      </c>
      <c r="L6" t="s">
        <v>26</v>
      </c>
      <c r="M6" s="5" t="s">
        <v>161</v>
      </c>
      <c r="N6" t="s">
        <v>162</v>
      </c>
      <c r="O6">
        <v>46</v>
      </c>
      <c r="P6">
        <v>2</v>
      </c>
      <c r="Q6" s="2">
        <v>0</v>
      </c>
      <c r="R6" s="2">
        <v>2295</v>
      </c>
      <c r="S6" s="2">
        <v>2086</v>
      </c>
      <c r="T6" s="2">
        <f t="shared" si="0"/>
        <v>0</v>
      </c>
      <c r="U6" s="2">
        <f t="shared" si="1"/>
        <v>4590</v>
      </c>
    </row>
    <row r="7" spans="1:21" x14ac:dyDescent="0.3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t="s">
        <v>43</v>
      </c>
      <c r="H7" t="s">
        <v>173</v>
      </c>
      <c r="I7" t="s">
        <v>29</v>
      </c>
      <c r="J7" t="s">
        <v>30</v>
      </c>
      <c r="K7" t="s">
        <v>25</v>
      </c>
      <c r="L7" t="s">
        <v>26</v>
      </c>
      <c r="M7" s="5" t="s">
        <v>161</v>
      </c>
      <c r="N7" t="s">
        <v>162</v>
      </c>
      <c r="O7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3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t="s">
        <v>21</v>
      </c>
      <c r="H8" t="s">
        <v>171</v>
      </c>
      <c r="I8" t="s">
        <v>23</v>
      </c>
      <c r="J8" t="s">
        <v>47</v>
      </c>
      <c r="K8" t="s">
        <v>25</v>
      </c>
      <c r="L8" t="s">
        <v>26</v>
      </c>
      <c r="M8" s="5" t="s">
        <v>161</v>
      </c>
      <c r="N8" t="s">
        <v>162</v>
      </c>
      <c r="O8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s="9" customFormat="1" x14ac:dyDescent="0.3">
      <c r="A9" s="3" t="s">
        <v>48</v>
      </c>
      <c r="B9" s="1">
        <v>44534</v>
      </c>
      <c r="C9">
        <v>4</v>
      </c>
      <c r="D9" t="s">
        <v>20</v>
      </c>
      <c r="E9">
        <v>2021</v>
      </c>
      <c r="F9">
        <v>31</v>
      </c>
      <c r="G9" t="s">
        <v>36</v>
      </c>
      <c r="H9" t="s">
        <v>173</v>
      </c>
      <c r="I9" t="s">
        <v>37</v>
      </c>
      <c r="J9" t="s">
        <v>38</v>
      </c>
      <c r="K9" t="s">
        <v>25</v>
      </c>
      <c r="L9" t="s">
        <v>26</v>
      </c>
      <c r="M9" s="5" t="s">
        <v>164</v>
      </c>
      <c r="N9" s="9" t="s">
        <v>163</v>
      </c>
      <c r="O9" s="9">
        <v>42</v>
      </c>
      <c r="P9">
        <v>4</v>
      </c>
      <c r="Q9" s="2">
        <v>420</v>
      </c>
      <c r="R9" s="2">
        <v>0</v>
      </c>
      <c r="S9" s="2">
        <v>1396</v>
      </c>
      <c r="T9" s="2">
        <f t="shared" si="0"/>
        <v>1680</v>
      </c>
      <c r="U9" s="2">
        <f t="shared" si="1"/>
        <v>0</v>
      </c>
    </row>
    <row r="10" spans="1:21" x14ac:dyDescent="0.3">
      <c r="A10" s="3" t="s">
        <v>49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t="s">
        <v>21</v>
      </c>
      <c r="H10" t="s">
        <v>173</v>
      </c>
      <c r="I10" t="s">
        <v>23</v>
      </c>
      <c r="J10" t="s">
        <v>24</v>
      </c>
      <c r="K10" t="s">
        <v>25</v>
      </c>
      <c r="L10" t="s">
        <v>26</v>
      </c>
      <c r="M10" s="5" t="s">
        <v>161</v>
      </c>
      <c r="N10" t="s">
        <v>162</v>
      </c>
      <c r="O10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3">
      <c r="A11" s="3" t="s">
        <v>50</v>
      </c>
      <c r="B11" s="1">
        <v>44535</v>
      </c>
      <c r="C11">
        <v>5</v>
      </c>
      <c r="D11" t="s">
        <v>20</v>
      </c>
      <c r="E11">
        <v>2021</v>
      </c>
      <c r="F11">
        <v>42</v>
      </c>
      <c r="G11" t="s">
        <v>21</v>
      </c>
      <c r="H11" t="s">
        <v>171</v>
      </c>
      <c r="I11" t="s">
        <v>51</v>
      </c>
      <c r="J11" t="s">
        <v>52</v>
      </c>
      <c r="K11" t="s">
        <v>25</v>
      </c>
      <c r="L11" t="s">
        <v>26</v>
      </c>
      <c r="M11" s="5" t="s">
        <v>161</v>
      </c>
      <c r="N11" t="s">
        <v>162</v>
      </c>
      <c r="O11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3">
      <c r="A12" s="3" t="s">
        <v>53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t="s">
        <v>21</v>
      </c>
      <c r="H12" t="s">
        <v>173</v>
      </c>
      <c r="I12" t="s">
        <v>37</v>
      </c>
      <c r="J12" t="s">
        <v>54</v>
      </c>
      <c r="K12" t="s">
        <v>25</v>
      </c>
      <c r="L12" t="s">
        <v>26</v>
      </c>
      <c r="M12" s="5" t="s">
        <v>161</v>
      </c>
      <c r="N12" t="s">
        <v>163</v>
      </c>
      <c r="O12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3">
      <c r="A13" s="3" t="s">
        <v>56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t="s">
        <v>21</v>
      </c>
      <c r="H13" t="s">
        <v>173</v>
      </c>
      <c r="I13" t="s">
        <v>23</v>
      </c>
      <c r="J13" t="s">
        <v>24</v>
      </c>
      <c r="K13" t="s">
        <v>25</v>
      </c>
      <c r="L13" t="s">
        <v>26</v>
      </c>
      <c r="M13" s="5" t="s">
        <v>161</v>
      </c>
      <c r="N13" t="s">
        <v>162</v>
      </c>
      <c r="O13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3">
      <c r="A14" s="3" t="s">
        <v>57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t="s">
        <v>43</v>
      </c>
      <c r="H14" t="s">
        <v>171</v>
      </c>
      <c r="I14" t="s">
        <v>29</v>
      </c>
      <c r="J14" t="s">
        <v>30</v>
      </c>
      <c r="K14" t="s">
        <v>25</v>
      </c>
      <c r="L14" t="s">
        <v>26</v>
      </c>
      <c r="M14" s="5" t="s">
        <v>164</v>
      </c>
      <c r="N14" t="s">
        <v>163</v>
      </c>
      <c r="O14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3">
      <c r="A15" s="3" t="s">
        <v>58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t="s">
        <v>36</v>
      </c>
      <c r="H15" t="s">
        <v>171</v>
      </c>
      <c r="I15" t="s">
        <v>59</v>
      </c>
      <c r="J15" t="s">
        <v>60</v>
      </c>
      <c r="K15" t="s">
        <v>25</v>
      </c>
      <c r="L15" t="s">
        <v>26</v>
      </c>
      <c r="M15" s="5" t="s">
        <v>161</v>
      </c>
      <c r="N15" t="s">
        <v>162</v>
      </c>
      <c r="O15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3">
      <c r="A16" s="3" t="s">
        <v>61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t="s">
        <v>43</v>
      </c>
      <c r="H16" t="s">
        <v>171</v>
      </c>
      <c r="I16" t="s">
        <v>37</v>
      </c>
      <c r="J16" t="s">
        <v>38</v>
      </c>
      <c r="K16" t="s">
        <v>25</v>
      </c>
      <c r="L16" t="s">
        <v>26</v>
      </c>
      <c r="M16" s="5" t="s">
        <v>161</v>
      </c>
      <c r="N16" t="s">
        <v>162</v>
      </c>
      <c r="O16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3">
      <c r="A17" s="3" t="s">
        <v>63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t="s">
        <v>21</v>
      </c>
      <c r="H17" t="s">
        <v>171</v>
      </c>
      <c r="I17" t="s">
        <v>29</v>
      </c>
      <c r="J17" t="s">
        <v>30</v>
      </c>
      <c r="K17" t="s">
        <v>25</v>
      </c>
      <c r="L17" t="s">
        <v>26</v>
      </c>
      <c r="M17" s="5" t="s">
        <v>161</v>
      </c>
      <c r="N17" t="s">
        <v>163</v>
      </c>
      <c r="O17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3">
      <c r="A18" s="3" t="s">
        <v>64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t="s">
        <v>36</v>
      </c>
      <c r="H18" t="s">
        <v>171</v>
      </c>
      <c r="I18" t="s">
        <v>23</v>
      </c>
      <c r="J18" t="s">
        <v>24</v>
      </c>
      <c r="K18" t="s">
        <v>25</v>
      </c>
      <c r="L18" t="s">
        <v>26</v>
      </c>
      <c r="M18" s="5" t="s">
        <v>164</v>
      </c>
      <c r="N18" t="s">
        <v>163</v>
      </c>
      <c r="O18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3">
      <c r="A19" s="3" t="s">
        <v>67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t="s">
        <v>21</v>
      </c>
      <c r="H19" t="s">
        <v>171</v>
      </c>
      <c r="I19" t="s">
        <v>23</v>
      </c>
      <c r="J19" t="s">
        <v>24</v>
      </c>
      <c r="K19" t="s">
        <v>25</v>
      </c>
      <c r="L19" t="s">
        <v>26</v>
      </c>
      <c r="M19" s="5" t="s">
        <v>161</v>
      </c>
      <c r="N19" t="s">
        <v>163</v>
      </c>
      <c r="O19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3">
      <c r="A20" s="3" t="s">
        <v>68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t="s">
        <v>43</v>
      </c>
      <c r="H20" t="s">
        <v>173</v>
      </c>
      <c r="I20" t="s">
        <v>37</v>
      </c>
      <c r="J20" t="s">
        <v>38</v>
      </c>
      <c r="K20" t="s">
        <v>25</v>
      </c>
      <c r="L20" t="s">
        <v>26</v>
      </c>
      <c r="M20" s="5" t="s">
        <v>165</v>
      </c>
      <c r="N20" t="s">
        <v>163</v>
      </c>
      <c r="O20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3">
      <c r="A21" s="3" t="s">
        <v>70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t="s">
        <v>36</v>
      </c>
      <c r="H21" t="s">
        <v>173</v>
      </c>
      <c r="I21" t="s">
        <v>59</v>
      </c>
      <c r="J21" t="s">
        <v>60</v>
      </c>
      <c r="K21" t="s">
        <v>25</v>
      </c>
      <c r="L21" t="s">
        <v>26</v>
      </c>
      <c r="M21" s="5" t="s">
        <v>161</v>
      </c>
      <c r="N21" t="s">
        <v>163</v>
      </c>
      <c r="O21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3">
      <c r="A22" s="3" t="s">
        <v>71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t="s">
        <v>21</v>
      </c>
      <c r="H22" t="s">
        <v>173</v>
      </c>
      <c r="I22" t="s">
        <v>23</v>
      </c>
      <c r="J22" t="s">
        <v>72</v>
      </c>
      <c r="K22" t="s">
        <v>25</v>
      </c>
      <c r="L22" t="s">
        <v>26</v>
      </c>
      <c r="M22" s="5" t="s">
        <v>161</v>
      </c>
      <c r="N22" t="s">
        <v>162</v>
      </c>
      <c r="O22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3">
      <c r="A23" s="3" t="s">
        <v>73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t="s">
        <v>21</v>
      </c>
      <c r="H23" t="s">
        <v>173</v>
      </c>
      <c r="I23" t="s">
        <v>23</v>
      </c>
      <c r="J23" t="s">
        <v>24</v>
      </c>
      <c r="K23" t="s">
        <v>25</v>
      </c>
      <c r="L23" t="s">
        <v>26</v>
      </c>
      <c r="M23" s="5" t="s">
        <v>165</v>
      </c>
      <c r="N23" t="s">
        <v>162</v>
      </c>
      <c r="O23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3">
      <c r="A24" s="3" t="s">
        <v>75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t="s">
        <v>36</v>
      </c>
      <c r="H24" t="s">
        <v>173</v>
      </c>
      <c r="I24" t="s">
        <v>37</v>
      </c>
      <c r="J24" t="s">
        <v>76</v>
      </c>
      <c r="K24" t="s">
        <v>25</v>
      </c>
      <c r="L24" t="s">
        <v>26</v>
      </c>
      <c r="M24" s="5" t="s">
        <v>166</v>
      </c>
      <c r="N24" t="s">
        <v>162</v>
      </c>
      <c r="O24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3">
      <c r="A25" s="3" t="s">
        <v>78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t="s">
        <v>21</v>
      </c>
      <c r="H25" t="s">
        <v>173</v>
      </c>
      <c r="I25" t="s">
        <v>51</v>
      </c>
      <c r="J25" t="s">
        <v>79</v>
      </c>
      <c r="K25" t="s">
        <v>25</v>
      </c>
      <c r="L25" t="s">
        <v>26</v>
      </c>
      <c r="M25" s="5" t="s">
        <v>161</v>
      </c>
      <c r="N25" t="s">
        <v>163</v>
      </c>
      <c r="O25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3">
      <c r="A26" s="3" t="s">
        <v>80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t="s">
        <v>36</v>
      </c>
      <c r="H26" t="s">
        <v>173</v>
      </c>
      <c r="I26" t="s">
        <v>23</v>
      </c>
      <c r="J26" t="s">
        <v>24</v>
      </c>
      <c r="K26" t="s">
        <v>25</v>
      </c>
      <c r="L26" t="s">
        <v>26</v>
      </c>
      <c r="M26" s="5" t="s">
        <v>161</v>
      </c>
      <c r="N26" t="s">
        <v>162</v>
      </c>
      <c r="O26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3">
      <c r="A27" s="3" t="s">
        <v>81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t="s">
        <v>21</v>
      </c>
      <c r="H27" t="s">
        <v>171</v>
      </c>
      <c r="I27" t="s">
        <v>37</v>
      </c>
      <c r="J27" t="s">
        <v>38</v>
      </c>
      <c r="K27" t="s">
        <v>25</v>
      </c>
      <c r="L27" t="s">
        <v>26</v>
      </c>
      <c r="M27" s="5" t="s">
        <v>161</v>
      </c>
      <c r="N27" t="s">
        <v>162</v>
      </c>
      <c r="O27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3">
      <c r="A28" s="3" t="s">
        <v>82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t="s">
        <v>36</v>
      </c>
      <c r="H28" t="s">
        <v>171</v>
      </c>
      <c r="I28" t="s">
        <v>29</v>
      </c>
      <c r="J28" t="s">
        <v>30</v>
      </c>
      <c r="K28" t="s">
        <v>25</v>
      </c>
      <c r="L28" t="s">
        <v>26</v>
      </c>
      <c r="M28" s="5" t="s">
        <v>161</v>
      </c>
      <c r="N28" t="s">
        <v>162</v>
      </c>
      <c r="O28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3">
      <c r="A29" s="3" t="s">
        <v>83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t="s">
        <v>36</v>
      </c>
      <c r="H29" t="s">
        <v>171</v>
      </c>
      <c r="I29" t="s">
        <v>23</v>
      </c>
      <c r="J29" t="s">
        <v>24</v>
      </c>
      <c r="K29" t="s">
        <v>25</v>
      </c>
      <c r="L29" t="s">
        <v>26</v>
      </c>
      <c r="M29" s="5" t="s">
        <v>165</v>
      </c>
      <c r="N29" t="s">
        <v>162</v>
      </c>
      <c r="O29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3">
      <c r="A30" s="3" t="s">
        <v>85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t="s">
        <v>36</v>
      </c>
      <c r="H30" t="s">
        <v>173</v>
      </c>
      <c r="I30" t="s">
        <v>23</v>
      </c>
      <c r="J30" t="s">
        <v>47</v>
      </c>
      <c r="K30" t="s">
        <v>25</v>
      </c>
      <c r="L30" t="s">
        <v>26</v>
      </c>
      <c r="M30" s="5" t="s">
        <v>166</v>
      </c>
      <c r="N30" t="s">
        <v>163</v>
      </c>
      <c r="O30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3">
      <c r="A31" s="3" t="s">
        <v>87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t="s">
        <v>21</v>
      </c>
      <c r="H31" t="s">
        <v>171</v>
      </c>
      <c r="I31" t="s">
        <v>37</v>
      </c>
      <c r="J31" t="s">
        <v>38</v>
      </c>
      <c r="K31" t="s">
        <v>25</v>
      </c>
      <c r="L31" t="s">
        <v>26</v>
      </c>
      <c r="M31" s="5" t="s">
        <v>161</v>
      </c>
      <c r="N31" t="s">
        <v>162</v>
      </c>
      <c r="O31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3">
      <c r="A32" s="3" t="s">
        <v>88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t="s">
        <v>43</v>
      </c>
      <c r="H32" t="s">
        <v>173</v>
      </c>
      <c r="I32" t="s">
        <v>89</v>
      </c>
      <c r="J32" t="s">
        <v>90</v>
      </c>
      <c r="K32" t="s">
        <v>25</v>
      </c>
      <c r="L32" t="s">
        <v>26</v>
      </c>
      <c r="M32" s="5" t="s">
        <v>161</v>
      </c>
      <c r="N32" t="s">
        <v>162</v>
      </c>
      <c r="O32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3">
      <c r="A33" s="3" t="s">
        <v>91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t="s">
        <v>21</v>
      </c>
      <c r="H33" t="s">
        <v>173</v>
      </c>
      <c r="I33" t="s">
        <v>37</v>
      </c>
      <c r="J33" t="s">
        <v>38</v>
      </c>
      <c r="K33" t="s">
        <v>25</v>
      </c>
      <c r="L33" t="s">
        <v>26</v>
      </c>
      <c r="M33" s="5" t="s">
        <v>164</v>
      </c>
      <c r="N33" t="s">
        <v>163</v>
      </c>
      <c r="O33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3">
      <c r="A34" s="3" t="s">
        <v>92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t="s">
        <v>36</v>
      </c>
      <c r="H34" t="s">
        <v>171</v>
      </c>
      <c r="I34" t="s">
        <v>59</v>
      </c>
      <c r="J34" t="s">
        <v>60</v>
      </c>
      <c r="K34" t="s">
        <v>25</v>
      </c>
      <c r="L34" t="s">
        <v>26</v>
      </c>
      <c r="M34" s="5" t="s">
        <v>161</v>
      </c>
      <c r="N34" t="s">
        <v>162</v>
      </c>
      <c r="O34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si="0"/>
        <v>1252</v>
      </c>
      <c r="U34" s="2">
        <f t="shared" si="1"/>
        <v>2295</v>
      </c>
    </row>
    <row r="35" spans="1:21" x14ac:dyDescent="0.3">
      <c r="A35" s="3" t="s">
        <v>93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t="s">
        <v>21</v>
      </c>
      <c r="H35" t="s">
        <v>171</v>
      </c>
      <c r="I35" t="s">
        <v>23</v>
      </c>
      <c r="J35" t="s">
        <v>24</v>
      </c>
      <c r="K35" t="s">
        <v>25</v>
      </c>
      <c r="L35" t="s">
        <v>26</v>
      </c>
      <c r="M35" s="5" t="s">
        <v>164</v>
      </c>
      <c r="N35" t="s">
        <v>163</v>
      </c>
      <c r="O35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0"/>
        <v>420</v>
      </c>
      <c r="U35" s="2">
        <f t="shared" si="1"/>
        <v>769</v>
      </c>
    </row>
    <row r="36" spans="1:21" x14ac:dyDescent="0.3">
      <c r="A36" s="3" t="s">
        <v>94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t="s">
        <v>21</v>
      </c>
      <c r="H36" t="s">
        <v>173</v>
      </c>
      <c r="I36" t="s">
        <v>23</v>
      </c>
      <c r="J36" t="s">
        <v>24</v>
      </c>
      <c r="K36" t="s">
        <v>25</v>
      </c>
      <c r="L36" t="s">
        <v>26</v>
      </c>
      <c r="M36" s="5" t="s">
        <v>161</v>
      </c>
      <c r="N36" t="s">
        <v>163</v>
      </c>
      <c r="O36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0"/>
        <v>1266</v>
      </c>
      <c r="U36" s="2">
        <f t="shared" si="1"/>
        <v>2320</v>
      </c>
    </row>
    <row r="37" spans="1:21" x14ac:dyDescent="0.3">
      <c r="A37" s="3" t="s">
        <v>95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t="s">
        <v>21</v>
      </c>
      <c r="H37" t="s">
        <v>173</v>
      </c>
      <c r="I37" t="s">
        <v>37</v>
      </c>
      <c r="J37" t="s">
        <v>38</v>
      </c>
      <c r="K37" t="s">
        <v>25</v>
      </c>
      <c r="L37" t="s">
        <v>26</v>
      </c>
      <c r="M37" s="5" t="s">
        <v>161</v>
      </c>
      <c r="N37" t="s">
        <v>163</v>
      </c>
      <c r="O37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0"/>
        <v>5064</v>
      </c>
      <c r="U37" s="2">
        <f t="shared" si="1"/>
        <v>9280</v>
      </c>
    </row>
    <row r="38" spans="1:21" x14ac:dyDescent="0.3">
      <c r="A38" s="3" t="s">
        <v>96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t="s">
        <v>21</v>
      </c>
      <c r="H38" t="s">
        <v>171</v>
      </c>
      <c r="I38" t="s">
        <v>23</v>
      </c>
      <c r="J38" t="s">
        <v>24</v>
      </c>
      <c r="K38" t="s">
        <v>25</v>
      </c>
      <c r="L38" t="s">
        <v>26</v>
      </c>
      <c r="M38" s="5" t="s">
        <v>164</v>
      </c>
      <c r="N38" t="s">
        <v>163</v>
      </c>
      <c r="O38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0"/>
        <v>1680</v>
      </c>
      <c r="U38" s="2">
        <f t="shared" si="1"/>
        <v>3076</v>
      </c>
    </row>
    <row r="39" spans="1:21" x14ac:dyDescent="0.3">
      <c r="A39" s="3" t="s">
        <v>97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t="s">
        <v>36</v>
      </c>
      <c r="H39" t="s">
        <v>171</v>
      </c>
      <c r="I39" t="s">
        <v>37</v>
      </c>
      <c r="J39" t="s">
        <v>38</v>
      </c>
      <c r="K39" t="s">
        <v>25</v>
      </c>
      <c r="L39" t="s">
        <v>26</v>
      </c>
      <c r="M39" s="5" t="s">
        <v>161</v>
      </c>
      <c r="N39" t="s">
        <v>162</v>
      </c>
      <c r="O39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0"/>
        <v>2504</v>
      </c>
      <c r="U39" s="2">
        <f t="shared" si="1"/>
        <v>4590</v>
      </c>
    </row>
    <row r="40" spans="1:21" x14ac:dyDescent="0.3">
      <c r="A40" s="3" t="s">
        <v>98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t="s">
        <v>21</v>
      </c>
      <c r="H40" t="s">
        <v>173</v>
      </c>
      <c r="I40" t="s">
        <v>37</v>
      </c>
      <c r="J40" t="s">
        <v>76</v>
      </c>
      <c r="K40" t="s">
        <v>25</v>
      </c>
      <c r="L40" t="s">
        <v>26</v>
      </c>
      <c r="M40" s="5" t="s">
        <v>161</v>
      </c>
      <c r="N40" t="s">
        <v>163</v>
      </c>
      <c r="O40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0"/>
        <v>1266</v>
      </c>
      <c r="U40" s="2">
        <f t="shared" si="1"/>
        <v>2320</v>
      </c>
    </row>
    <row r="41" spans="1:21" x14ac:dyDescent="0.3">
      <c r="A41" s="3" t="s">
        <v>99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t="s">
        <v>21</v>
      </c>
      <c r="H41" t="s">
        <v>173</v>
      </c>
      <c r="I41" t="s">
        <v>23</v>
      </c>
      <c r="J41" t="s">
        <v>47</v>
      </c>
      <c r="K41" t="s">
        <v>25</v>
      </c>
      <c r="L41" t="s">
        <v>26</v>
      </c>
      <c r="M41" s="5" t="s">
        <v>161</v>
      </c>
      <c r="N41" t="s">
        <v>163</v>
      </c>
      <c r="O41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3">
      <c r="A42" s="3" t="s">
        <v>100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t="s">
        <v>36</v>
      </c>
      <c r="H42" t="s">
        <v>173</v>
      </c>
      <c r="I42" t="s">
        <v>37</v>
      </c>
      <c r="J42" t="s">
        <v>54</v>
      </c>
      <c r="K42" t="s">
        <v>25</v>
      </c>
      <c r="L42" t="s">
        <v>26</v>
      </c>
      <c r="M42" s="5" t="s">
        <v>161</v>
      </c>
      <c r="N42" t="s">
        <v>163</v>
      </c>
      <c r="O42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0"/>
        <v>3798</v>
      </c>
      <c r="U42" s="2">
        <f t="shared" si="1"/>
        <v>6960</v>
      </c>
    </row>
    <row r="43" spans="1:21" x14ac:dyDescent="0.3">
      <c r="A43" s="3" t="s">
        <v>101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t="s">
        <v>21</v>
      </c>
      <c r="H43" t="s">
        <v>173</v>
      </c>
      <c r="I43" t="s">
        <v>23</v>
      </c>
      <c r="J43" t="s">
        <v>24</v>
      </c>
      <c r="K43" t="s">
        <v>25</v>
      </c>
      <c r="L43" t="s">
        <v>26</v>
      </c>
      <c r="M43" s="5" t="s">
        <v>165</v>
      </c>
      <c r="N43" t="s">
        <v>163</v>
      </c>
      <c r="O43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0"/>
        <v>308</v>
      </c>
      <c r="U43" s="2">
        <f t="shared" si="1"/>
        <v>565</v>
      </c>
    </row>
    <row r="44" spans="1:21" x14ac:dyDescent="0.3">
      <c r="A44" s="3" t="s">
        <v>103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t="s">
        <v>21</v>
      </c>
      <c r="H44" t="s">
        <v>173</v>
      </c>
      <c r="I44" t="s">
        <v>29</v>
      </c>
      <c r="J44" t="s">
        <v>30</v>
      </c>
      <c r="K44" t="s">
        <v>25</v>
      </c>
      <c r="L44" t="s">
        <v>26</v>
      </c>
      <c r="M44" s="5" t="s">
        <v>161</v>
      </c>
      <c r="N44" t="s">
        <v>162</v>
      </c>
      <c r="O44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0"/>
        <v>1252</v>
      </c>
      <c r="U44" s="2">
        <f t="shared" si="1"/>
        <v>2295</v>
      </c>
    </row>
    <row r="45" spans="1:21" x14ac:dyDescent="0.3">
      <c r="A45" s="3" t="s">
        <v>104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t="s">
        <v>21</v>
      </c>
      <c r="H45" t="s">
        <v>171</v>
      </c>
      <c r="I45" t="s">
        <v>29</v>
      </c>
      <c r="J45" t="s">
        <v>30</v>
      </c>
      <c r="K45" t="s">
        <v>25</v>
      </c>
      <c r="L45" t="s">
        <v>26</v>
      </c>
      <c r="M45" s="5" t="s">
        <v>161</v>
      </c>
      <c r="N45" t="s">
        <v>162</v>
      </c>
      <c r="O45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3">
      <c r="A46" s="3" t="s">
        <v>105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t="s">
        <v>36</v>
      </c>
      <c r="H46" t="s">
        <v>173</v>
      </c>
      <c r="I46" t="s">
        <v>23</v>
      </c>
      <c r="J46" t="s">
        <v>47</v>
      </c>
      <c r="K46" t="s">
        <v>25</v>
      </c>
      <c r="L46" t="s">
        <v>26</v>
      </c>
      <c r="M46" s="5" t="s">
        <v>161</v>
      </c>
      <c r="N46" t="s">
        <v>163</v>
      </c>
      <c r="O46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0"/>
        <v>2532</v>
      </c>
      <c r="U46" s="2">
        <f t="shared" si="1"/>
        <v>4640</v>
      </c>
    </row>
    <row r="47" spans="1:21" x14ac:dyDescent="0.3">
      <c r="A47" s="3" t="s">
        <v>106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t="s">
        <v>36</v>
      </c>
      <c r="H47" t="s">
        <v>171</v>
      </c>
      <c r="I47" t="s">
        <v>23</v>
      </c>
      <c r="J47" t="s">
        <v>24</v>
      </c>
      <c r="K47" t="s">
        <v>25</v>
      </c>
      <c r="L47" t="s">
        <v>26</v>
      </c>
      <c r="M47" s="5" t="s">
        <v>161</v>
      </c>
      <c r="N47" t="s">
        <v>162</v>
      </c>
      <c r="O47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0"/>
        <v>1252</v>
      </c>
      <c r="U47" s="2">
        <f t="shared" si="1"/>
        <v>2295</v>
      </c>
    </row>
    <row r="48" spans="1:21" x14ac:dyDescent="0.3">
      <c r="A48" s="3" t="s">
        <v>107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t="s">
        <v>36</v>
      </c>
      <c r="H48" t="s">
        <v>173</v>
      </c>
      <c r="I48" t="s">
        <v>37</v>
      </c>
      <c r="J48" t="s">
        <v>76</v>
      </c>
      <c r="K48" t="s">
        <v>25</v>
      </c>
      <c r="L48" t="s">
        <v>26</v>
      </c>
      <c r="M48" s="5" t="s">
        <v>164</v>
      </c>
      <c r="N48" t="s">
        <v>163</v>
      </c>
      <c r="O48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0"/>
        <v>420</v>
      </c>
      <c r="U48" s="2">
        <f t="shared" si="1"/>
        <v>769</v>
      </c>
    </row>
    <row r="49" spans="1:21" x14ac:dyDescent="0.3">
      <c r="A49" s="3" t="s">
        <v>108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t="s">
        <v>36</v>
      </c>
      <c r="H49" t="s">
        <v>173</v>
      </c>
      <c r="I49" t="s">
        <v>23</v>
      </c>
      <c r="J49" t="s">
        <v>24</v>
      </c>
      <c r="K49" t="s">
        <v>25</v>
      </c>
      <c r="L49" t="s">
        <v>26</v>
      </c>
      <c r="M49" s="5" t="s">
        <v>161</v>
      </c>
      <c r="N49" t="s">
        <v>163</v>
      </c>
      <c r="O49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0"/>
        <v>1266</v>
      </c>
      <c r="U49" s="2">
        <f t="shared" si="1"/>
        <v>2320</v>
      </c>
    </row>
    <row r="50" spans="1:21" x14ac:dyDescent="0.3">
      <c r="A50" s="3" t="s">
        <v>109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t="s">
        <v>36</v>
      </c>
      <c r="H50" t="s">
        <v>173</v>
      </c>
      <c r="I50" t="s">
        <v>37</v>
      </c>
      <c r="J50" t="s">
        <v>38</v>
      </c>
      <c r="K50" t="s">
        <v>25</v>
      </c>
      <c r="L50" t="s">
        <v>26</v>
      </c>
      <c r="M50" s="5" t="s">
        <v>161</v>
      </c>
      <c r="N50" t="s">
        <v>162</v>
      </c>
      <c r="O50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0"/>
        <v>2504</v>
      </c>
      <c r="U50" s="2">
        <f t="shared" si="1"/>
        <v>4590</v>
      </c>
    </row>
    <row r="51" spans="1:21" x14ac:dyDescent="0.3">
      <c r="A51" s="3" t="s">
        <v>110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t="s">
        <v>21</v>
      </c>
      <c r="H51" t="s">
        <v>171</v>
      </c>
      <c r="I51" t="s">
        <v>37</v>
      </c>
      <c r="J51" t="s">
        <v>38</v>
      </c>
      <c r="K51" t="s">
        <v>25</v>
      </c>
      <c r="L51" t="s">
        <v>26</v>
      </c>
      <c r="M51" s="5" t="s">
        <v>161</v>
      </c>
      <c r="N51" t="s">
        <v>162</v>
      </c>
      <c r="O51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3">
      <c r="A52" s="3" t="s">
        <v>111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t="s">
        <v>36</v>
      </c>
      <c r="H52" t="s">
        <v>173</v>
      </c>
      <c r="I52" t="s">
        <v>89</v>
      </c>
      <c r="J52" t="s">
        <v>112</v>
      </c>
      <c r="K52" t="s">
        <v>25</v>
      </c>
      <c r="L52" t="s">
        <v>26</v>
      </c>
      <c r="M52" s="5" t="s">
        <v>161</v>
      </c>
      <c r="N52" t="s">
        <v>163</v>
      </c>
      <c r="O52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0"/>
        <v>1266</v>
      </c>
      <c r="U52" s="2">
        <f t="shared" si="1"/>
        <v>2320</v>
      </c>
    </row>
    <row r="53" spans="1:21" x14ac:dyDescent="0.3">
      <c r="A53" s="3" t="s">
        <v>114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t="s">
        <v>21</v>
      </c>
      <c r="H53" t="s">
        <v>173</v>
      </c>
      <c r="I53" t="s">
        <v>23</v>
      </c>
      <c r="J53" t="s">
        <v>47</v>
      </c>
      <c r="K53" t="s">
        <v>25</v>
      </c>
      <c r="L53" t="s">
        <v>26</v>
      </c>
      <c r="M53" s="5" t="s">
        <v>161</v>
      </c>
      <c r="N53" t="s">
        <v>163</v>
      </c>
      <c r="O53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0"/>
        <v>2532</v>
      </c>
      <c r="U53" s="2">
        <f t="shared" si="1"/>
        <v>4640</v>
      </c>
    </row>
    <row r="54" spans="1:21" x14ac:dyDescent="0.3">
      <c r="A54" s="3" t="s">
        <v>115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t="s">
        <v>36</v>
      </c>
      <c r="H54" t="s">
        <v>171</v>
      </c>
      <c r="I54" t="s">
        <v>37</v>
      </c>
      <c r="J54" t="s">
        <v>38</v>
      </c>
      <c r="K54" t="s">
        <v>25</v>
      </c>
      <c r="L54" t="s">
        <v>26</v>
      </c>
      <c r="M54" s="5" t="s">
        <v>164</v>
      </c>
      <c r="N54" t="s">
        <v>163</v>
      </c>
      <c r="O54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0"/>
        <v>420</v>
      </c>
      <c r="U54" s="2">
        <f t="shared" si="1"/>
        <v>769</v>
      </c>
    </row>
    <row r="55" spans="1:21" x14ac:dyDescent="0.3">
      <c r="A55" s="3" t="s">
        <v>116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t="s">
        <v>21</v>
      </c>
      <c r="H55" t="s">
        <v>173</v>
      </c>
      <c r="I55" t="s">
        <v>51</v>
      </c>
      <c r="J55" t="s">
        <v>52</v>
      </c>
      <c r="K55" t="s">
        <v>25</v>
      </c>
      <c r="L55" t="s">
        <v>26</v>
      </c>
      <c r="M55" s="5" t="s">
        <v>161</v>
      </c>
      <c r="N55" t="s">
        <v>163</v>
      </c>
      <c r="O55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0"/>
        <v>1266</v>
      </c>
      <c r="U55" s="2">
        <f t="shared" si="1"/>
        <v>2320</v>
      </c>
    </row>
    <row r="56" spans="1:21" x14ac:dyDescent="0.3">
      <c r="A56" s="3" t="s">
        <v>117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t="s">
        <v>21</v>
      </c>
      <c r="H56" t="s">
        <v>173</v>
      </c>
      <c r="I56" t="s">
        <v>37</v>
      </c>
      <c r="J56" t="s">
        <v>38</v>
      </c>
      <c r="K56" t="s">
        <v>25</v>
      </c>
      <c r="L56" t="s">
        <v>26</v>
      </c>
      <c r="M56" s="5" t="s">
        <v>165</v>
      </c>
      <c r="N56" t="s">
        <v>163</v>
      </c>
      <c r="O56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0"/>
        <v>1232</v>
      </c>
      <c r="U56" s="2">
        <f t="shared" si="1"/>
        <v>2260</v>
      </c>
    </row>
    <row r="57" spans="1:21" x14ac:dyDescent="0.3">
      <c r="A57" s="3" t="s">
        <v>118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t="s">
        <v>21</v>
      </c>
      <c r="H57" t="s">
        <v>173</v>
      </c>
      <c r="I57" t="s">
        <v>51</v>
      </c>
      <c r="J57" t="s">
        <v>52</v>
      </c>
      <c r="K57" t="s">
        <v>25</v>
      </c>
      <c r="L57" t="s">
        <v>26</v>
      </c>
      <c r="M57" s="5" t="s">
        <v>161</v>
      </c>
      <c r="N57" t="s">
        <v>163</v>
      </c>
      <c r="O57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0"/>
        <v>5064</v>
      </c>
      <c r="U57" s="2">
        <f t="shared" si="1"/>
        <v>9280</v>
      </c>
    </row>
    <row r="58" spans="1:21" x14ac:dyDescent="0.3">
      <c r="A58" s="3" t="s">
        <v>119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t="s">
        <v>43</v>
      </c>
      <c r="H58" t="s">
        <v>173</v>
      </c>
      <c r="I58" t="s">
        <v>89</v>
      </c>
      <c r="J58" t="s">
        <v>120</v>
      </c>
      <c r="K58" t="s">
        <v>25</v>
      </c>
      <c r="L58" t="s">
        <v>26</v>
      </c>
      <c r="M58" s="5" t="s">
        <v>161</v>
      </c>
      <c r="N58" t="s">
        <v>163</v>
      </c>
      <c r="O58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0"/>
        <v>3798</v>
      </c>
      <c r="U58" s="2">
        <f t="shared" si="1"/>
        <v>6960</v>
      </c>
    </row>
    <row r="59" spans="1:21" x14ac:dyDescent="0.3">
      <c r="A59" s="3" t="s">
        <v>121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t="s">
        <v>36</v>
      </c>
      <c r="H59" t="s">
        <v>173</v>
      </c>
      <c r="I59" t="s">
        <v>29</v>
      </c>
      <c r="J59" t="s">
        <v>30</v>
      </c>
      <c r="K59" t="s">
        <v>25</v>
      </c>
      <c r="L59" t="s">
        <v>26</v>
      </c>
      <c r="M59" s="5" t="s">
        <v>164</v>
      </c>
      <c r="N59" t="s">
        <v>163</v>
      </c>
      <c r="O59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0"/>
        <v>1260</v>
      </c>
      <c r="U59" s="2">
        <f t="shared" si="1"/>
        <v>2307</v>
      </c>
    </row>
    <row r="60" spans="1:21" x14ac:dyDescent="0.3">
      <c r="A60" s="3" t="s">
        <v>122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t="s">
        <v>21</v>
      </c>
      <c r="H60" t="s">
        <v>171</v>
      </c>
      <c r="I60" t="s">
        <v>23</v>
      </c>
      <c r="J60" t="s">
        <v>24</v>
      </c>
      <c r="K60" t="s">
        <v>25</v>
      </c>
      <c r="L60" t="s">
        <v>26</v>
      </c>
      <c r="M60" s="5" t="s">
        <v>161</v>
      </c>
      <c r="N60" t="s">
        <v>162</v>
      </c>
      <c r="O60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0"/>
        <v>3756</v>
      </c>
      <c r="U60" s="2">
        <f t="shared" si="1"/>
        <v>6885</v>
      </c>
    </row>
    <row r="61" spans="1:21" x14ac:dyDescent="0.3">
      <c r="A61" s="3" t="s">
        <v>123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t="s">
        <v>36</v>
      </c>
      <c r="H61" t="s">
        <v>171</v>
      </c>
      <c r="I61" t="s">
        <v>89</v>
      </c>
      <c r="J61" t="s">
        <v>90</v>
      </c>
      <c r="K61" t="s">
        <v>25</v>
      </c>
      <c r="L61" t="s">
        <v>26</v>
      </c>
      <c r="M61" s="5" t="s">
        <v>161</v>
      </c>
      <c r="N61" t="s">
        <v>162</v>
      </c>
      <c r="O61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0"/>
        <v>1252</v>
      </c>
      <c r="U61" s="2">
        <f t="shared" si="1"/>
        <v>2295</v>
      </c>
    </row>
    <row r="62" spans="1:21" x14ac:dyDescent="0.3">
      <c r="A62" s="3" t="s">
        <v>124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t="s">
        <v>21</v>
      </c>
      <c r="H62" t="s">
        <v>171</v>
      </c>
      <c r="I62" t="s">
        <v>23</v>
      </c>
      <c r="J62" t="s">
        <v>47</v>
      </c>
      <c r="K62" t="s">
        <v>25</v>
      </c>
      <c r="L62" t="s">
        <v>26</v>
      </c>
      <c r="M62" s="5" t="s">
        <v>161</v>
      </c>
      <c r="N62" t="s">
        <v>163</v>
      </c>
      <c r="O62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0"/>
        <v>1266</v>
      </c>
      <c r="U62" s="2">
        <f t="shared" si="1"/>
        <v>2320</v>
      </c>
    </row>
    <row r="63" spans="1:21" x14ac:dyDescent="0.3">
      <c r="A63" s="3" t="s">
        <v>125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t="s">
        <v>43</v>
      </c>
      <c r="H63" t="s">
        <v>171</v>
      </c>
      <c r="I63" t="s">
        <v>89</v>
      </c>
      <c r="J63" t="s">
        <v>126</v>
      </c>
      <c r="K63" t="s">
        <v>25</v>
      </c>
      <c r="L63" t="s">
        <v>26</v>
      </c>
      <c r="M63" s="5" t="s">
        <v>161</v>
      </c>
      <c r="N63" t="s">
        <v>163</v>
      </c>
      <c r="O63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0"/>
        <v>5064</v>
      </c>
      <c r="U63" s="2">
        <f t="shared" si="1"/>
        <v>9280</v>
      </c>
    </row>
    <row r="64" spans="1:21" x14ac:dyDescent="0.3">
      <c r="A64" s="3" t="s">
        <v>127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t="s">
        <v>43</v>
      </c>
      <c r="H64" t="s">
        <v>173</v>
      </c>
      <c r="I64" t="s">
        <v>37</v>
      </c>
      <c r="J64" t="s">
        <v>76</v>
      </c>
      <c r="K64" t="s">
        <v>25</v>
      </c>
      <c r="L64" t="s">
        <v>26</v>
      </c>
      <c r="M64" s="5" t="s">
        <v>165</v>
      </c>
      <c r="N64" t="s">
        <v>162</v>
      </c>
      <c r="O64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0"/>
        <v>1180</v>
      </c>
      <c r="U64" s="2">
        <f t="shared" si="1"/>
        <v>2160</v>
      </c>
    </row>
    <row r="65" spans="1:21" x14ac:dyDescent="0.3">
      <c r="A65" s="3" t="s">
        <v>129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t="s">
        <v>36</v>
      </c>
      <c r="H65" t="s">
        <v>171</v>
      </c>
      <c r="I65" t="s">
        <v>89</v>
      </c>
      <c r="J65" t="s">
        <v>90</v>
      </c>
      <c r="K65" t="s">
        <v>25</v>
      </c>
      <c r="L65" t="s">
        <v>26</v>
      </c>
      <c r="M65" s="5" t="s">
        <v>161</v>
      </c>
      <c r="N65" t="s">
        <v>162</v>
      </c>
      <c r="O65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0"/>
        <v>5008</v>
      </c>
      <c r="U65" s="2">
        <f t="shared" si="1"/>
        <v>9180</v>
      </c>
    </row>
    <row r="66" spans="1:21" x14ac:dyDescent="0.3">
      <c r="A66" s="3" t="s">
        <v>130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t="s">
        <v>21</v>
      </c>
      <c r="H66" t="s">
        <v>173</v>
      </c>
      <c r="I66" t="s">
        <v>23</v>
      </c>
      <c r="J66" t="s">
        <v>72</v>
      </c>
      <c r="K66" t="s">
        <v>25</v>
      </c>
      <c r="L66" t="s">
        <v>26</v>
      </c>
      <c r="M66" s="5" t="s">
        <v>166</v>
      </c>
      <c r="N66" t="s">
        <v>162</v>
      </c>
      <c r="O66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ref="T66:T89" si="2">P66*Q66</f>
        <v>7592</v>
      </c>
      <c r="U66" s="2">
        <f t="shared" ref="U66:U89" si="3">P66*R66</f>
        <v>13500</v>
      </c>
    </row>
    <row r="67" spans="1:21" x14ac:dyDescent="0.3">
      <c r="A67" s="3" t="s">
        <v>132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t="s">
        <v>21</v>
      </c>
      <c r="H67" t="s">
        <v>171</v>
      </c>
      <c r="I67" t="s">
        <v>23</v>
      </c>
      <c r="J67" t="s">
        <v>72</v>
      </c>
      <c r="K67" t="s">
        <v>25</v>
      </c>
      <c r="L67" t="s">
        <v>26</v>
      </c>
      <c r="M67" s="5" t="s">
        <v>161</v>
      </c>
      <c r="N67" t="s">
        <v>162</v>
      </c>
      <c r="O67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si="2"/>
        <v>5008</v>
      </c>
      <c r="U67" s="2">
        <f t="shared" si="3"/>
        <v>9180</v>
      </c>
    </row>
    <row r="68" spans="1:21" x14ac:dyDescent="0.3">
      <c r="A68" s="3" t="s">
        <v>133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t="s">
        <v>21</v>
      </c>
      <c r="H68" t="s">
        <v>173</v>
      </c>
      <c r="I68" t="s">
        <v>23</v>
      </c>
      <c r="J68" t="s">
        <v>24</v>
      </c>
      <c r="K68" t="s">
        <v>25</v>
      </c>
      <c r="L68" t="s">
        <v>26</v>
      </c>
      <c r="M68" s="5" t="s">
        <v>161</v>
      </c>
      <c r="N68" t="s">
        <v>162</v>
      </c>
      <c r="O68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2"/>
        <v>5008</v>
      </c>
      <c r="U68" s="2">
        <f t="shared" si="3"/>
        <v>9180</v>
      </c>
    </row>
    <row r="69" spans="1:21" x14ac:dyDescent="0.3">
      <c r="A69" s="3" t="s">
        <v>134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t="s">
        <v>21</v>
      </c>
      <c r="H69" t="s">
        <v>173</v>
      </c>
      <c r="I69" t="s">
        <v>37</v>
      </c>
      <c r="J69" t="s">
        <v>54</v>
      </c>
      <c r="K69" t="s">
        <v>25</v>
      </c>
      <c r="L69" t="s">
        <v>26</v>
      </c>
      <c r="M69" s="5" t="s">
        <v>161</v>
      </c>
      <c r="N69" t="s">
        <v>162</v>
      </c>
      <c r="O69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2"/>
        <v>5008</v>
      </c>
      <c r="U69" s="2">
        <f t="shared" si="3"/>
        <v>9180</v>
      </c>
    </row>
    <row r="70" spans="1:21" x14ac:dyDescent="0.3">
      <c r="A70" s="3" t="s">
        <v>135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t="s">
        <v>43</v>
      </c>
      <c r="H70" t="s">
        <v>171</v>
      </c>
      <c r="I70" t="s">
        <v>37</v>
      </c>
      <c r="J70" t="s">
        <v>136</v>
      </c>
      <c r="K70" t="s">
        <v>25</v>
      </c>
      <c r="L70" t="s">
        <v>26</v>
      </c>
      <c r="M70" s="5" t="s">
        <v>165</v>
      </c>
      <c r="N70" t="s">
        <v>162</v>
      </c>
      <c r="O70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2"/>
        <v>590</v>
      </c>
      <c r="U70" s="2">
        <f t="shared" si="3"/>
        <v>1080</v>
      </c>
    </row>
    <row r="71" spans="1:21" x14ac:dyDescent="0.3">
      <c r="A71" s="3" t="s">
        <v>137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t="s">
        <v>21</v>
      </c>
      <c r="H71" t="s">
        <v>173</v>
      </c>
      <c r="I71" t="s">
        <v>51</v>
      </c>
      <c r="J71" t="s">
        <v>138</v>
      </c>
      <c r="K71" t="s">
        <v>25</v>
      </c>
      <c r="L71" t="s">
        <v>26</v>
      </c>
      <c r="M71" s="5" t="s">
        <v>161</v>
      </c>
      <c r="N71" t="s">
        <v>162</v>
      </c>
      <c r="O71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2"/>
        <v>2504</v>
      </c>
      <c r="U71" s="2">
        <f t="shared" si="3"/>
        <v>4590</v>
      </c>
    </row>
    <row r="72" spans="1:21" x14ac:dyDescent="0.3">
      <c r="A72" s="3" t="s">
        <v>139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t="s">
        <v>21</v>
      </c>
      <c r="H72" t="s">
        <v>173</v>
      </c>
      <c r="I72" t="s">
        <v>23</v>
      </c>
      <c r="J72" t="s">
        <v>47</v>
      </c>
      <c r="K72" t="s">
        <v>25</v>
      </c>
      <c r="L72" t="s">
        <v>26</v>
      </c>
      <c r="M72" s="5" t="s">
        <v>161</v>
      </c>
      <c r="N72" t="s">
        <v>163</v>
      </c>
      <c r="O72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2"/>
        <v>1266</v>
      </c>
      <c r="U72" s="2">
        <f t="shared" si="3"/>
        <v>2320</v>
      </c>
    </row>
    <row r="73" spans="1:21" x14ac:dyDescent="0.3">
      <c r="A73" s="3" t="s">
        <v>140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t="s">
        <v>36</v>
      </c>
      <c r="H73" t="s">
        <v>173</v>
      </c>
      <c r="I73" t="s">
        <v>37</v>
      </c>
      <c r="J73" t="s">
        <v>76</v>
      </c>
      <c r="K73" t="s">
        <v>25</v>
      </c>
      <c r="L73" t="s">
        <v>26</v>
      </c>
      <c r="M73" s="5" t="s">
        <v>166</v>
      </c>
      <c r="N73" t="s">
        <v>162</v>
      </c>
      <c r="O73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2"/>
        <v>7592</v>
      </c>
      <c r="U73" s="2">
        <f t="shared" si="3"/>
        <v>13500</v>
      </c>
    </row>
    <row r="74" spans="1:21" x14ac:dyDescent="0.3">
      <c r="A74" s="3" t="s">
        <v>141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t="s">
        <v>21</v>
      </c>
      <c r="H74" t="s">
        <v>171</v>
      </c>
      <c r="I74" t="s">
        <v>37</v>
      </c>
      <c r="J74" t="s">
        <v>54</v>
      </c>
      <c r="K74" t="s">
        <v>25</v>
      </c>
      <c r="L74" t="s">
        <v>26</v>
      </c>
      <c r="M74" s="5" t="s">
        <v>161</v>
      </c>
      <c r="N74" t="s">
        <v>162</v>
      </c>
      <c r="O74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2"/>
        <v>5008</v>
      </c>
      <c r="U74" s="2">
        <f t="shared" si="3"/>
        <v>9180</v>
      </c>
    </row>
    <row r="75" spans="1:21" x14ac:dyDescent="0.3">
      <c r="A75" s="3" t="s">
        <v>142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t="s">
        <v>36</v>
      </c>
      <c r="H75" t="s">
        <v>171</v>
      </c>
      <c r="I75" t="s">
        <v>59</v>
      </c>
      <c r="J75" t="s">
        <v>60</v>
      </c>
      <c r="K75" t="s">
        <v>25</v>
      </c>
      <c r="L75" t="s">
        <v>26</v>
      </c>
      <c r="M75" s="5" t="s">
        <v>165</v>
      </c>
      <c r="N75" t="s">
        <v>162</v>
      </c>
      <c r="O75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2"/>
        <v>885</v>
      </c>
      <c r="U75" s="2">
        <f t="shared" si="3"/>
        <v>1620</v>
      </c>
    </row>
    <row r="76" spans="1:21" x14ac:dyDescent="0.3">
      <c r="A76" s="3" t="s">
        <v>144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t="s">
        <v>21</v>
      </c>
      <c r="H76" t="s">
        <v>173</v>
      </c>
      <c r="I76" t="s">
        <v>37</v>
      </c>
      <c r="J76" t="s">
        <v>54</v>
      </c>
      <c r="K76" t="s">
        <v>25</v>
      </c>
      <c r="L76" t="s">
        <v>26</v>
      </c>
      <c r="M76" s="5" t="s">
        <v>161</v>
      </c>
      <c r="N76" t="s">
        <v>163</v>
      </c>
      <c r="O76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2"/>
        <v>1266</v>
      </c>
      <c r="U76" s="2">
        <f t="shared" si="3"/>
        <v>2320</v>
      </c>
    </row>
    <row r="77" spans="1:21" x14ac:dyDescent="0.3">
      <c r="A77" s="3" t="s">
        <v>145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t="s">
        <v>21</v>
      </c>
      <c r="H77" t="s">
        <v>171</v>
      </c>
      <c r="I77" t="s">
        <v>37</v>
      </c>
      <c r="J77" t="s">
        <v>76</v>
      </c>
      <c r="K77" t="s">
        <v>25</v>
      </c>
      <c r="L77" t="s">
        <v>26</v>
      </c>
      <c r="M77" s="5" t="s">
        <v>161</v>
      </c>
      <c r="N77" t="s">
        <v>163</v>
      </c>
      <c r="O77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2"/>
        <v>1266</v>
      </c>
      <c r="U77" s="2">
        <f t="shared" si="3"/>
        <v>2320</v>
      </c>
    </row>
    <row r="78" spans="1:21" x14ac:dyDescent="0.3">
      <c r="A78" s="3" t="s">
        <v>146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t="s">
        <v>36</v>
      </c>
      <c r="H78" t="s">
        <v>171</v>
      </c>
      <c r="I78" t="s">
        <v>89</v>
      </c>
      <c r="J78" t="s">
        <v>147</v>
      </c>
      <c r="K78" t="s">
        <v>25</v>
      </c>
      <c r="L78" t="s">
        <v>26</v>
      </c>
      <c r="M78" s="5" t="s">
        <v>161</v>
      </c>
      <c r="N78" t="s">
        <v>163</v>
      </c>
      <c r="O78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2"/>
        <v>3798</v>
      </c>
      <c r="U78" s="2">
        <f t="shared" si="3"/>
        <v>6960</v>
      </c>
    </row>
    <row r="79" spans="1:21" x14ac:dyDescent="0.3">
      <c r="A79" s="3" t="s">
        <v>148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t="s">
        <v>43</v>
      </c>
      <c r="H79" t="s">
        <v>171</v>
      </c>
      <c r="I79" t="s">
        <v>29</v>
      </c>
      <c r="J79" t="s">
        <v>30</v>
      </c>
      <c r="K79" t="s">
        <v>25</v>
      </c>
      <c r="L79" t="s">
        <v>26</v>
      </c>
      <c r="M79" s="5" t="s">
        <v>164</v>
      </c>
      <c r="N79" t="s">
        <v>163</v>
      </c>
      <c r="O79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2"/>
        <v>840</v>
      </c>
      <c r="U79" s="2">
        <f t="shared" si="3"/>
        <v>1538</v>
      </c>
    </row>
    <row r="80" spans="1:21" x14ac:dyDescent="0.3">
      <c r="A80" s="3" t="s">
        <v>149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t="s">
        <v>36</v>
      </c>
      <c r="H80" t="s">
        <v>173</v>
      </c>
      <c r="I80" t="s">
        <v>23</v>
      </c>
      <c r="J80" t="s">
        <v>47</v>
      </c>
      <c r="K80" t="s">
        <v>25</v>
      </c>
      <c r="L80" t="s">
        <v>26</v>
      </c>
      <c r="M80" s="5" t="s">
        <v>161</v>
      </c>
      <c r="N80" t="s">
        <v>163</v>
      </c>
      <c r="O80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2"/>
        <v>3798</v>
      </c>
      <c r="U80" s="2">
        <f t="shared" si="3"/>
        <v>6960</v>
      </c>
    </row>
    <row r="81" spans="1:21" x14ac:dyDescent="0.3">
      <c r="A81" s="3" t="s">
        <v>150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t="s">
        <v>21</v>
      </c>
      <c r="H81" t="s">
        <v>171</v>
      </c>
      <c r="I81" t="s">
        <v>23</v>
      </c>
      <c r="J81" t="s">
        <v>24</v>
      </c>
      <c r="K81" t="s">
        <v>25</v>
      </c>
      <c r="L81" t="s">
        <v>26</v>
      </c>
      <c r="M81" s="5" t="s">
        <v>161</v>
      </c>
      <c r="N81" t="s">
        <v>162</v>
      </c>
      <c r="O81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2"/>
        <v>3756</v>
      </c>
      <c r="U81" s="2">
        <f t="shared" si="3"/>
        <v>6885</v>
      </c>
    </row>
    <row r="82" spans="1:21" x14ac:dyDescent="0.3">
      <c r="A82" s="3" t="s">
        <v>151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t="s">
        <v>43</v>
      </c>
      <c r="H82" t="s">
        <v>173</v>
      </c>
      <c r="I82" t="s">
        <v>37</v>
      </c>
      <c r="J82" t="s">
        <v>38</v>
      </c>
      <c r="K82" t="s">
        <v>25</v>
      </c>
      <c r="L82" t="s">
        <v>26</v>
      </c>
      <c r="M82" s="5" t="s">
        <v>165</v>
      </c>
      <c r="N82" t="s">
        <v>163</v>
      </c>
      <c r="O82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2"/>
        <v>308</v>
      </c>
      <c r="U82" s="2">
        <f t="shared" si="3"/>
        <v>565</v>
      </c>
    </row>
    <row r="83" spans="1:21" x14ac:dyDescent="0.3">
      <c r="A83" s="3" t="s">
        <v>152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t="s">
        <v>36</v>
      </c>
      <c r="H83" t="s">
        <v>171</v>
      </c>
      <c r="I83" t="s">
        <v>89</v>
      </c>
      <c r="J83" t="s">
        <v>90</v>
      </c>
      <c r="K83" t="s">
        <v>25</v>
      </c>
      <c r="L83" t="s">
        <v>26</v>
      </c>
      <c r="M83" s="5" t="s">
        <v>161</v>
      </c>
      <c r="N83" t="s">
        <v>162</v>
      </c>
      <c r="O83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2"/>
        <v>1252</v>
      </c>
      <c r="U83" s="2">
        <f t="shared" si="3"/>
        <v>2295</v>
      </c>
    </row>
    <row r="84" spans="1:21" x14ac:dyDescent="0.3">
      <c r="A84" s="3" t="s">
        <v>153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t="s">
        <v>36</v>
      </c>
      <c r="H84" t="s">
        <v>173</v>
      </c>
      <c r="I84" t="s">
        <v>59</v>
      </c>
      <c r="J84" t="s">
        <v>60</v>
      </c>
      <c r="K84" t="s">
        <v>25</v>
      </c>
      <c r="L84" t="s">
        <v>26</v>
      </c>
      <c r="M84" s="5" t="s">
        <v>161</v>
      </c>
      <c r="N84" t="s">
        <v>162</v>
      </c>
      <c r="O84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2"/>
        <v>1252</v>
      </c>
      <c r="U84" s="2">
        <f t="shared" si="3"/>
        <v>2295</v>
      </c>
    </row>
    <row r="85" spans="1:21" x14ac:dyDescent="0.3">
      <c r="A85" s="3" t="s">
        <v>154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t="s">
        <v>21</v>
      </c>
      <c r="H85" t="s">
        <v>171</v>
      </c>
      <c r="I85" t="s">
        <v>51</v>
      </c>
      <c r="J85" t="s">
        <v>138</v>
      </c>
      <c r="K85" t="s">
        <v>25</v>
      </c>
      <c r="L85" t="s">
        <v>26</v>
      </c>
      <c r="M85" s="5" t="s">
        <v>161</v>
      </c>
      <c r="N85" t="s">
        <v>163</v>
      </c>
      <c r="O85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2"/>
        <v>1266</v>
      </c>
      <c r="U85" s="2">
        <f t="shared" si="3"/>
        <v>2320</v>
      </c>
    </row>
    <row r="86" spans="1:21" x14ac:dyDescent="0.3">
      <c r="A86" s="3" t="s">
        <v>155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t="s">
        <v>36</v>
      </c>
      <c r="H86" t="s">
        <v>173</v>
      </c>
      <c r="I86" t="s">
        <v>23</v>
      </c>
      <c r="J86" t="s">
        <v>72</v>
      </c>
      <c r="K86" t="s">
        <v>25</v>
      </c>
      <c r="L86" t="s">
        <v>26</v>
      </c>
      <c r="M86" s="5" t="s">
        <v>161</v>
      </c>
      <c r="N86" t="s">
        <v>163</v>
      </c>
      <c r="O86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2"/>
        <v>1266</v>
      </c>
      <c r="U86" s="2">
        <f t="shared" si="3"/>
        <v>2320</v>
      </c>
    </row>
    <row r="87" spans="1:21" x14ac:dyDescent="0.3">
      <c r="A87" s="3" t="s">
        <v>156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t="s">
        <v>36</v>
      </c>
      <c r="H87" t="s">
        <v>173</v>
      </c>
      <c r="I87" t="s">
        <v>59</v>
      </c>
      <c r="J87" t="s">
        <v>60</v>
      </c>
      <c r="K87" t="s">
        <v>25</v>
      </c>
      <c r="L87" t="s">
        <v>26</v>
      </c>
      <c r="M87" s="5" t="s">
        <v>161</v>
      </c>
      <c r="N87" t="s">
        <v>162</v>
      </c>
      <c r="O87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2"/>
        <v>1252</v>
      </c>
      <c r="U87" s="2">
        <f t="shared" si="3"/>
        <v>2295</v>
      </c>
    </row>
    <row r="88" spans="1:21" x14ac:dyDescent="0.3">
      <c r="A88" s="3" t="s">
        <v>157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t="s">
        <v>21</v>
      </c>
      <c r="H88" t="s">
        <v>173</v>
      </c>
      <c r="I88" t="s">
        <v>23</v>
      </c>
      <c r="J88" t="s">
        <v>24</v>
      </c>
      <c r="K88" t="s">
        <v>25</v>
      </c>
      <c r="L88" t="s">
        <v>26</v>
      </c>
      <c r="M88" s="5" t="s">
        <v>165</v>
      </c>
      <c r="N88" t="s">
        <v>162</v>
      </c>
      <c r="O88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2"/>
        <v>295</v>
      </c>
      <c r="U88" s="2">
        <f t="shared" si="3"/>
        <v>540</v>
      </c>
    </row>
    <row r="89" spans="1:21" x14ac:dyDescent="0.3">
      <c r="A89" s="3" t="s">
        <v>158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t="s">
        <v>21</v>
      </c>
      <c r="H89" t="s">
        <v>171</v>
      </c>
      <c r="I89" t="s">
        <v>37</v>
      </c>
      <c r="J89" t="s">
        <v>54</v>
      </c>
      <c r="K89" t="s">
        <v>25</v>
      </c>
      <c r="L89" t="s">
        <v>26</v>
      </c>
      <c r="M89" s="5" t="s">
        <v>161</v>
      </c>
      <c r="N89" t="s">
        <v>162</v>
      </c>
      <c r="O89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2"/>
        <v>5008</v>
      </c>
      <c r="U89" s="2">
        <f t="shared" si="3"/>
        <v>9180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Bike Sales</vt:lpstr>
      <vt:lpstr>Datos duplicados</vt:lpstr>
      <vt:lpstr>Eliminar duplicados</vt:lpstr>
      <vt:lpstr>Identificar Celdas vacias</vt:lpstr>
      <vt:lpstr>Texto en Columnnas</vt:lpstr>
      <vt:lpstr>Eliminación de espacios</vt:lpstr>
      <vt:lpstr>Buscar y reemplazar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Oscar Nieves</cp:lastModifiedBy>
  <cp:revision/>
  <dcterms:created xsi:type="dcterms:W3CDTF">2022-11-04T20:14:11Z</dcterms:created>
  <dcterms:modified xsi:type="dcterms:W3CDTF">2026-07-22T16:04:07Z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